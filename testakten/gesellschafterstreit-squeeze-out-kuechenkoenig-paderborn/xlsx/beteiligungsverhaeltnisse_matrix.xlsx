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eiligungs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7A7974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28251D"/>
      <sz val="10"/>
    </font>
    <font>
      <name val="Calibri"/>
      <b val="1"/>
      <color rgb="0028251D"/>
      <sz val="10"/>
    </font>
    <font>
      <name val="Calibri"/>
      <i val="1"/>
      <color rgb="007A7974"/>
      <sz val="9"/>
    </font>
  </fonts>
  <fills count="8">
    <fill>
      <patternFill/>
    </fill>
    <fill>
      <patternFill patternType="gray125"/>
    </fill>
    <fill>
      <patternFill patternType="solid">
        <fgColor rgb="001B474D"/>
        <bgColor rgb="001B474D"/>
      </patternFill>
    </fill>
    <fill>
      <patternFill patternType="solid">
        <fgColor rgb="0020808D"/>
        <bgColor rgb="0020808D"/>
      </patternFill>
    </fill>
    <fill>
      <patternFill patternType="solid">
        <fgColor rgb="00F9F8F5"/>
        <bgColor rgb="00F9F8F5"/>
      </patternFill>
    </fill>
    <fill>
      <patternFill patternType="solid">
        <fgColor rgb="00F0F7F8"/>
        <bgColor rgb="00F0F7F8"/>
      </patternFill>
    </fill>
    <fill>
      <patternFill patternType="solid">
        <fgColor rgb="00BCE2E7"/>
        <bgColor rgb="00BCE2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/>
    </xf>
    <xf numFmtId="0" fontId="4" fillId="3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22" customWidth="1" min="4" max="4"/>
    <col width="16" customWidth="1" min="5" max="5"/>
    <col width="16" customWidth="1" min="6" max="6"/>
    <col width="22" customWidth="1" min="7" max="7"/>
    <col width="22" customWidth="1" min="8" max="8"/>
  </cols>
  <sheetData>
    <row r="1"/>
    <row r="2" ht="30" customHeight="1">
      <c r="B2" s="1" t="inlineStr">
        <is>
          <t>Küchenkönig Manufaktur GmbH &amp; Co. KG — Beteiligungsstruktur</t>
        </is>
      </c>
    </row>
    <row r="3">
      <c r="B3" s="2" t="inlineStr">
        <is>
          <t>Stand: April 2026 | Bewertungsgrundlage: IDW S 1 / Buchwert | Aktenzeichen: DWSP/2026/GR-4417</t>
        </is>
      </c>
    </row>
    <row r="4" ht="8" customHeight="1"/>
    <row r="5" ht="22" customHeight="1">
      <c r="B5" s="3" t="inlineStr">
        <is>
          <t>A. Kommanditanteilsstruktur</t>
        </is>
      </c>
    </row>
    <row r="6" ht="30" customHeight="1">
      <c r="B6" s="4" t="inlineStr">
        <is>
          <t>Gesellschafter</t>
        </is>
      </c>
      <c r="C6" s="4" t="inlineStr">
        <is>
          <t>Rechtsform</t>
        </is>
      </c>
      <c r="D6" s="4" t="inlineStr">
        <is>
          <t>Kapitalanteil (EUR)</t>
        </is>
      </c>
      <c r="E6" s="4" t="inlineStr">
        <is>
          <t>Quote (%)</t>
        </is>
      </c>
      <c r="F6" s="4" t="inlineStr">
        <is>
          <t>Stimmrechte (%)</t>
        </is>
      </c>
      <c r="G6" s="4" t="inlineStr">
        <is>
          <t>Abfindung Buchwert (EUR)</t>
        </is>
      </c>
      <c r="H6" s="4" t="inlineStr">
        <is>
          <t>Abfindung Ertragswert (EUR)</t>
        </is>
      </c>
    </row>
    <row r="7" ht="22" customHeight="1">
      <c r="B7" s="5" t="inlineStr">
        <is>
          <t>Küchenkönig Verwaltungs-GmbH (Komplementärin)</t>
        </is>
      </c>
      <c r="C7" s="6" t="inlineStr">
        <is>
          <t>GmbH (Komplementär)</t>
        </is>
      </c>
      <c r="D7" s="7" t="n">
        <v>0</v>
      </c>
      <c r="E7" s="8" t="n">
        <v>0.26</v>
      </c>
      <c r="F7" s="8" t="n">
        <v>0.26</v>
      </c>
      <c r="G7" s="7" t="n">
        <v>884000</v>
      </c>
      <c r="H7" s="7" t="n">
        <v>2548000</v>
      </c>
    </row>
    <row r="8" ht="22" customHeight="1">
      <c r="B8" s="9" t="inlineStr">
        <is>
          <t>Cornelia Geisen-Wetterhof</t>
        </is>
      </c>
      <c r="C8" s="10" t="inlineStr">
        <is>
          <t>Kommanditistin</t>
        </is>
      </c>
      <c r="D8" s="11" t="n">
        <v>240000</v>
      </c>
      <c r="E8" s="12" t="n">
        <v>0.24</v>
      </c>
      <c r="F8" s="12" t="n">
        <v>0.24</v>
      </c>
      <c r="G8" s="11" t="n">
        <v>816000</v>
      </c>
      <c r="H8" s="11" t="n">
        <v>2352000</v>
      </c>
    </row>
    <row r="9" ht="22" customHeight="1">
      <c r="B9" s="5" t="inlineStr">
        <is>
          <t>Stefan Geisen</t>
        </is>
      </c>
      <c r="C9" s="6" t="inlineStr">
        <is>
          <t>Kommanditist</t>
        </is>
      </c>
      <c r="D9" s="7" t="n">
        <v>200000</v>
      </c>
      <c r="E9" s="8" t="n">
        <v>0.2</v>
      </c>
      <c r="F9" s="8" t="n">
        <v>0.2</v>
      </c>
      <c r="G9" s="7" t="n">
        <v>680000</v>
      </c>
      <c r="H9" s="7" t="n">
        <v>1960000</v>
      </c>
    </row>
    <row r="10" ht="22" customHeight="1">
      <c r="B10" s="9" t="inlineStr">
        <is>
          <t>Wittmann Family Holding KG</t>
        </is>
      </c>
      <c r="C10" s="10" t="inlineStr">
        <is>
          <t>Kommanditistin</t>
        </is>
      </c>
      <c r="D10" s="11" t="n">
        <v>300000</v>
      </c>
      <c r="E10" s="12" t="n">
        <v>0.3</v>
      </c>
      <c r="F10" s="12" t="n">
        <v>0.3</v>
      </c>
      <c r="G10" s="11" t="n">
        <v>1020000</v>
      </c>
      <c r="H10" s="11" t="n">
        <v>2940000</v>
      </c>
    </row>
    <row r="11" ht="22" customHeight="1">
      <c r="B11" s="13" t="inlineStr">
        <is>
          <t>GESAMT</t>
        </is>
      </c>
      <c r="C11" s="14" t="inlineStr"/>
      <c r="D11" s="15" t="n">
        <v>740000</v>
      </c>
      <c r="E11" s="16" t="n">
        <v>1</v>
      </c>
      <c r="F11" s="16" t="n">
        <v>1</v>
      </c>
      <c r="G11" s="15" t="n">
        <v>3400000</v>
      </c>
      <c r="H11" s="15" t="n">
        <v>9800000</v>
      </c>
    </row>
    <row r="12" ht="28" customHeight="1">
      <c r="B12" s="17" t="inlineStr">
        <is>
          <t>* Komplementär-GmbH: Kein Kapitalanteil (unbeschränkt haftend); Stimmgewicht nach Arbeitsstand 260.000 EUR von 1.000.000 EUR Gesamtbasis gemäß § 7 GV. Abfindung auf Basis 26% × Ertragswert/Buchwert.</t>
        </is>
      </c>
    </row>
    <row r="13"/>
    <row r="14" ht="22" customHeight="1">
      <c r="B14" s="3" t="inlineStr">
        <is>
          <t>B. Streitige Abfindungsbeträge — Geisen-Familie gesamt (70 %)</t>
        </is>
      </c>
    </row>
    <row r="15" ht="30" customHeight="1">
      <c r="B15" s="18" t="inlineStr">
        <is>
          <t>Position</t>
        </is>
      </c>
      <c r="C15" s="18" t="inlineStr">
        <is>
          <t>Wittmann-Position</t>
        </is>
      </c>
      <c r="D15" s="18" t="inlineStr">
        <is>
          <t>Mandanten-Position (IDW S 1)</t>
        </is>
      </c>
      <c r="E15" s="18" t="inlineStr">
        <is>
          <t>Differenz EUR</t>
        </is>
      </c>
      <c r="F15" s="18" t="inlineStr">
        <is>
          <t>Differenz %</t>
        </is>
      </c>
    </row>
    <row r="16" ht="20" customHeight="1">
      <c r="B16" s="19" t="inlineStr">
        <is>
          <t>Ertragswert / Buchwert Gesellschaft gesamt</t>
        </is>
      </c>
      <c r="C16" s="20" t="n">
        <v>3400000</v>
      </c>
      <c r="D16" s="20" t="n">
        <v>9800000</v>
      </c>
      <c r="E16" s="20">
        <f>D16-C16</f>
        <v/>
      </c>
      <c r="F16" s="21">
        <f>D16/C16-1</f>
        <v/>
      </c>
    </row>
    <row r="17" ht="20" customHeight="1">
      <c r="B17" s="22" t="inlineStr">
        <is>
          <t>Anteil Geisen-Familie (70 %)</t>
        </is>
      </c>
      <c r="C17" s="23" t="n">
        <v>2380000</v>
      </c>
      <c r="D17" s="23" t="n">
        <v>6860000</v>
      </c>
      <c r="E17" s="23">
        <f>D17-C17</f>
        <v/>
      </c>
      <c r="F17" s="24">
        <f>D17/C17-1</f>
        <v/>
      </c>
    </row>
    <row r="18" ht="20" customHeight="1">
      <c r="B18" s="19" t="inlineStr">
        <is>
          <t>davon: Komplementär-GmbH (26 %)</t>
        </is>
      </c>
      <c r="C18" s="20" t="n">
        <v>884000</v>
      </c>
      <c r="D18" s="20" t="n">
        <v>2548000</v>
      </c>
      <c r="E18" s="20">
        <f>D18-C18</f>
        <v/>
      </c>
      <c r="F18" s="21">
        <f>D18/C18-1</f>
        <v/>
      </c>
    </row>
    <row r="19" ht="20" customHeight="1">
      <c r="B19" s="22" t="inlineStr">
        <is>
          <t>davon: Cornelia Geisen-Wetterhof (24 %)</t>
        </is>
      </c>
      <c r="C19" s="23" t="n">
        <v>816000</v>
      </c>
      <c r="D19" s="23" t="n">
        <v>2352000</v>
      </c>
      <c r="E19" s="23">
        <f>D19-C19</f>
        <v/>
      </c>
      <c r="F19" s="24">
        <f>D19/C19-1</f>
        <v/>
      </c>
    </row>
    <row r="20" ht="20" customHeight="1">
      <c r="B20" s="19" t="inlineStr">
        <is>
          <t>davon: Stefan Geisen (20 %)</t>
        </is>
      </c>
      <c r="C20" s="20" t="n">
        <v>680000</v>
      </c>
      <c r="D20" s="20" t="n">
        <v>1960000</v>
      </c>
      <c r="E20" s="20">
        <f>D20-C20</f>
        <v/>
      </c>
      <c r="F20" s="21">
        <f>D20/C20-1</f>
        <v/>
      </c>
    </row>
    <row r="21"/>
    <row r="22" ht="22" customHeight="1">
      <c r="B22" s="3" t="inlineStr">
        <is>
          <t>C. Stille Gesellschaft Karlheinz Wetterhof (§§ 230 ff. HGB)</t>
        </is>
      </c>
    </row>
    <row r="23" ht="22" customHeight="1">
      <c r="B23" s="25" t="inlineStr">
        <is>
          <t>Position</t>
        </is>
      </c>
      <c r="C23" s="25" t="inlineStr">
        <is>
          <t>Wert (EUR)</t>
        </is>
      </c>
      <c r="D23" s="25" t="inlineStr">
        <is>
          <t>Anmerkung</t>
        </is>
      </c>
    </row>
    <row r="24" ht="20" customHeight="1">
      <c r="B24" s="19" t="inlineStr">
        <is>
          <t>Einlage (Kapitalkonto)</t>
        </is>
      </c>
      <c r="C24" s="20" t="n">
        <v>200000</v>
      </c>
      <c r="D24" s="19" t="inlineStr">
        <is>
          <t>Eingezahlt 18.06.2019</t>
        </is>
      </c>
    </row>
    <row r="25" ht="20" customHeight="1">
      <c r="B25" s="22" t="inlineStr">
        <is>
          <t>Festverzinsung nicht ausgeschüttet (2024 + Q1 2026)</t>
        </is>
      </c>
      <c r="C25" s="23" t="n">
        <v>11250</v>
      </c>
      <c r="D25" s="22" t="inlineStr">
        <is>
          <t>4,5% p.a. anteilig</t>
        </is>
      </c>
    </row>
    <row r="26" ht="20" customHeight="1">
      <c r="B26" s="19" t="inlineStr">
        <is>
          <t>Gewinnbeteiligung 2023 (2 %)</t>
        </is>
      </c>
      <c r="C26" s="20" t="n">
        <v>32000</v>
      </c>
      <c r="D26" s="19" t="inlineStr">
        <is>
          <t>2% × JÜ 1.600 TEUR</t>
        </is>
      </c>
    </row>
    <row r="27" ht="20" customHeight="1">
      <c r="B27" s="22" t="inlineStr">
        <is>
          <t>Gewinnbeteiligung 2024 (2 %)</t>
        </is>
      </c>
      <c r="C27" s="23" t="n">
        <v>36400</v>
      </c>
      <c r="D27" s="22" t="inlineStr">
        <is>
          <t>2% × JÜ 1.820 TEUR</t>
        </is>
      </c>
    </row>
    <row r="28" ht="20" customHeight="1">
      <c r="B28" s="19" t="inlineStr">
        <is>
          <t>Gewinnbeteiligung Q1 2025 (anteilig)</t>
        </is>
      </c>
      <c r="C28" s="20" t="n">
        <v>10500</v>
      </c>
      <c r="D28" s="19" t="inlineStr">
        <is>
          <t>2% × 2.100 TEUR × 25%</t>
        </is>
      </c>
    </row>
    <row r="29" ht="20" customHeight="1">
      <c r="B29" s="22" t="inlineStr">
        <is>
          <t>Streitige Gegenforderung Gesellschaft</t>
        </is>
      </c>
      <c r="C29" s="23" t="n">
        <v>-28000</v>
      </c>
      <c r="D29" s="22" t="inlineStr">
        <is>
          <t>Angebliche Beratungsrechnung</t>
        </is>
      </c>
    </row>
    <row r="30" ht="20" customHeight="1">
      <c r="B30" s="26" t="inlineStr">
        <is>
          <t>Vorläufiges Auseinandersetzungsguthaben</t>
        </is>
      </c>
      <c r="C30" s="27" t="n">
        <v>262150</v>
      </c>
      <c r="D30" s="26" t="inlineStr">
        <is>
          <t>Summe ohne Abschlussprüfung</t>
        </is>
      </c>
    </row>
  </sheetData>
  <mergeCells count="6">
    <mergeCell ref="B22:H22"/>
    <mergeCell ref="B14:H14"/>
    <mergeCell ref="B12:H12"/>
    <mergeCell ref="B2:H2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2026-05-30T16:46:43Z</dcterms:created>
  <dcterms:modified xmlns:dcterms="http://purl.org/dc/terms/" xmlns:xsi="http://www.w3.org/2001/XMLSchema-instance" xsi:type="dcterms:W3CDTF">2026-07-15T16:01:34Z</dcterms:modified>
</cp:coreProperties>
</file>