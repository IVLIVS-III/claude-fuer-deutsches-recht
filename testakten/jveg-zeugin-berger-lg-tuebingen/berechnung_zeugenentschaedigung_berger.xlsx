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erechnung" sheetId="1" state="visible" r:id="rId1"/>
    <sheet xmlns:r="http://schemas.openxmlformats.org/officeDocument/2006/relationships" name="Vorschuss §3 JVE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km&quot;"/>
    <numFmt numFmtId="165" formatCode="#,##0.00&quot; EUR&quot;"/>
    <numFmt numFmtId="166" formatCode="#,##0&quot; h&quot;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9"/>
      <sz val="13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1F4E79"/>
      <sz val="10"/>
    </font>
    <font>
      <name val="Calibri"/>
      <charset val="1"/>
      <family val="0"/>
      <i val="1"/>
      <color rgb="FFFFFFFF"/>
      <sz val="9"/>
    </font>
    <font>
      <name val="Calibri"/>
      <charset val="1"/>
      <family val="0"/>
      <b val="1"/>
      <color rgb="FF595959"/>
      <sz val="10"/>
    </font>
    <font>
      <name val="Calibri"/>
      <charset val="1"/>
      <family val="0"/>
      <b val="1"/>
      <color rgb="FF375623"/>
      <sz val="10"/>
    </font>
    <font>
      <name val="Calibri"/>
      <charset val="1"/>
      <family val="0"/>
      <b val="1"/>
      <color rgb="FF7F6000"/>
      <sz val="10"/>
    </font>
    <font>
      <name val="Calibri"/>
      <charset val="1"/>
      <family val="0"/>
      <b val="1"/>
      <color rgb="FF9C0006"/>
      <sz val="10"/>
    </font>
  </fonts>
  <fills count="10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C6EFCE"/>
      </patternFill>
    </fill>
    <fill>
      <patternFill patternType="solid">
        <fgColor rgb="FFFFF2CC"/>
        <bgColor rgb="FFEBF3FB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F2CC"/>
      </patternFill>
    </fill>
  </fills>
  <borders count="5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 style="thin">
        <color rgb="FFB8B8B8"/>
      </top>
      <bottom/>
      <diagonal/>
    </border>
    <border>
      <left/>
      <right style="thin">
        <color rgb="FFB8B8B8"/>
      </right>
      <top style="thin">
        <color rgb="FFB8B8B8"/>
      </top>
      <bottom/>
      <diagonal/>
    </border>
    <border>
      <left/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165" fontId="9" fillId="6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66" fontId="6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165" fontId="11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general" vertical="bottom"/>
    </xf>
    <xf numFmtId="0" fontId="13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165" fontId="9" fillId="6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66" fontId="6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165" fontId="11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general" vertical="bottom"/>
    </xf>
    <xf numFmtId="0" fontId="13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8B8B8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38" min="1" max="1"/>
    <col width="32" customWidth="1" style="38" min="2" max="2"/>
    <col width="18" customWidth="1" style="38" min="3" max="5"/>
    <col width="24" customWidth="1" style="38" min="6" max="6"/>
    <col width="3" customWidth="1" style="38" min="7" max="7"/>
  </cols>
  <sheetData>
    <row r="1"/>
    <row r="2" ht="27.75" customHeight="1" s="39">
      <c r="B2" s="40" t="inlineStr">
        <is>
          <t>Zeugenentschädigung nach JVEG – Berechnung</t>
        </is>
      </c>
    </row>
    <row r="3" ht="15" customHeight="1" s="39">
      <c r="B3" s="41" t="inlineStr">
        <is>
          <t>LG Tübingen · Az. 7 O 118/23 · Hartmann ./. Vogt · Zeugin: Dr. Sophia Berger</t>
        </is>
      </c>
    </row>
    <row r="4" ht="15" customHeight="1" s="39">
      <c r="B4" s="42" t="inlineStr">
        <is>
          <t>Verhandlungstag: 17.02.2026</t>
        </is>
      </c>
      <c r="E4" s="43" t="inlineStr">
        <is>
          <t>Stand: 28.01.2026</t>
        </is>
      </c>
    </row>
    <row r="5"/>
    <row r="6" ht="18" customHeight="1" s="39">
      <c r="B6" s="44" t="inlineStr">
        <is>
          <t>§ 5 Abs. 2 JVEG – Fahrtkosten (Eigenfahrzeug)</t>
        </is>
      </c>
    </row>
    <row r="7" ht="21.75" customHeight="1" s="39">
      <c r="B7" s="45" t="inlineStr">
        <is>
          <t>Position</t>
        </is>
      </c>
      <c r="C7" s="45" t="inlineStr">
        <is>
          <t>Eingabe</t>
        </is>
      </c>
      <c r="D7" s="45" t="inlineStr">
        <is>
          <t>Satz / Einheit</t>
        </is>
      </c>
      <c r="E7" s="45" t="inlineStr">
        <is>
          <t>Ergebnis (EUR)</t>
        </is>
      </c>
      <c r="F7" s="45" t="inlineStr">
        <is>
          <t>Rechtsgrundlage</t>
        </is>
      </c>
    </row>
    <row r="8" ht="15.75" customHeight="1" s="39">
      <c r="B8" s="46" t="inlineStr">
        <is>
          <t>Strecke einfach (Barcelona–Tübingen)</t>
        </is>
      </c>
      <c r="C8" s="47" t="n">
        <v>1250</v>
      </c>
      <c r="D8" s="46" t="inlineStr">
        <is>
          <t>Eigenangabe Zeugin / Google Maps</t>
        </is>
      </c>
      <c r="E8" s="48" t="n"/>
      <c r="F8" s="46" t="inlineStr">
        <is>
          <t>§ 5 Abs. 2 Nr. 1 JVEG</t>
        </is>
      </c>
    </row>
    <row r="9" ht="15.75" customHeight="1" s="39">
      <c r="B9" s="49" t="inlineStr">
        <is>
          <t>Strecke gesamt (Hin- und Rückfahrt)</t>
        </is>
      </c>
      <c r="C9" s="50">
        <f>C8*2</f>
        <v/>
      </c>
      <c r="D9" s="49" t="inlineStr">
        <is>
          <t>Berechnet</t>
        </is>
      </c>
      <c r="E9" s="50" t="n"/>
      <c r="F9" s="49" t="inlineStr">
        <is>
          <t>§ 5 Abs. 2 JVEG</t>
        </is>
      </c>
    </row>
    <row r="10" ht="15.75" customHeight="1" s="39">
      <c r="B10" s="46" t="inlineStr">
        <is>
          <t>Kilometersatz (EUR/km)</t>
        </is>
      </c>
      <c r="C10" s="51" t="n">
        <v>0.35</v>
      </c>
      <c r="D10" s="46" t="inlineStr">
        <is>
          <t>Gesetzlicher Zeugensatz</t>
        </is>
      </c>
      <c r="E10" s="48" t="n"/>
      <c r="F10" s="46" t="inlineStr">
        <is>
          <t>§ 5 Abs. 2 Nr. 1 JVEG</t>
        </is>
      </c>
    </row>
    <row r="11" ht="18" customHeight="1" s="39">
      <c r="B11" s="52" t="inlineStr">
        <is>
          <t>Fahrtkosten gesamt</t>
        </is>
      </c>
      <c r="C11" s="53">
        <f>C9*C10</f>
        <v/>
      </c>
      <c r="D11" s="52" t="n"/>
      <c r="E11" s="53">
        <f>C9*C10</f>
        <v/>
      </c>
      <c r="F11" s="52" t="inlineStr">
        <is>
          <t>§ 5 Abs. 2 JVEG</t>
        </is>
      </c>
    </row>
    <row r="12"/>
    <row r="13" ht="15" customHeight="1" s="39">
      <c r="B13" s="44" t="inlineStr">
        <is>
          <t>§ 6 JVEG – Übernachtungskosten</t>
        </is>
      </c>
    </row>
    <row r="14" ht="19.5" customHeight="1" s="39">
      <c r="B14" s="45" t="inlineStr">
        <is>
          <t>Position</t>
        </is>
      </c>
      <c r="C14" s="45" t="inlineStr">
        <is>
          <t>Eingabe</t>
        </is>
      </c>
      <c r="D14" s="45" t="inlineStr">
        <is>
          <t>Bemerkung</t>
        </is>
      </c>
      <c r="E14" s="45" t="inlineStr">
        <is>
          <t>Ergebnis (EUR)</t>
        </is>
      </c>
      <c r="F14" s="45" t="inlineStr">
        <is>
          <t>Rechtsgrundlage</t>
        </is>
      </c>
    </row>
    <row r="15" ht="15.75" customHeight="1" s="39">
      <c r="B15" s="46" t="inlineStr">
        <is>
          <t>Anzahl Nächte</t>
        </is>
      </c>
      <c r="C15" s="54" t="n">
        <v>2</v>
      </c>
      <c r="D15" s="55" t="inlineStr">
        <is>
          <t>Anreise Vortag, Abreise Folgetag</t>
        </is>
      </c>
      <c r="E15" s="48" t="n"/>
      <c r="F15" s="55" t="inlineStr">
        <is>
          <t>§ 6 JVEG</t>
        </is>
      </c>
    </row>
    <row r="16" ht="15.75" customHeight="1" s="39">
      <c r="B16" s="49" t="inlineStr">
        <is>
          <t>Beantragte Kosten je Nacht</t>
        </is>
      </c>
      <c r="C16" s="56" t="n">
        <v>100</v>
      </c>
      <c r="D16" s="57" t="inlineStr">
        <is>
          <t>Eigenangabe Zeugin</t>
        </is>
      </c>
      <c r="E16" s="58" t="n"/>
      <c r="F16" s="57" t="inlineStr">
        <is>
          <t>§ 6 JVEG</t>
        </is>
      </c>
    </row>
    <row r="17" ht="15.75" customHeight="1" s="39">
      <c r="B17" s="46" t="inlineStr">
        <is>
          <t>Kostenhöchstgrenze je Nacht</t>
        </is>
      </c>
      <c r="C17" s="59" t="n">
        <v>80</v>
      </c>
      <c r="D17" s="55" t="inlineStr">
        <is>
          <t>JVEG-Obergrenze</t>
        </is>
      </c>
      <c r="E17" s="48" t="n"/>
      <c r="F17" s="55" t="inlineStr">
        <is>
          <t>§ 6 JVEG</t>
        </is>
      </c>
    </row>
    <row r="18" ht="15.75" customHeight="1" s="39">
      <c r="B18" s="49" t="inlineStr">
        <is>
          <t>Erstattungsfähig je Nacht</t>
        </is>
      </c>
      <c r="C18" s="58" t="n"/>
      <c r="D18" s="57" t="inlineStr">
        <is>
          <t>MIN(beantragt, Obergrenze)</t>
        </is>
      </c>
      <c r="E18" s="56">
        <f>MIN(C16,C17)</f>
        <v/>
      </c>
      <c r="F18" s="57" t="inlineStr">
        <is>
          <t>§ 6 JVEG</t>
        </is>
      </c>
    </row>
    <row r="19" ht="15.75" customHeight="1" s="39">
      <c r="B19" s="52" t="inlineStr">
        <is>
          <t>Übernachtungskosten gesamt</t>
        </is>
      </c>
      <c r="C19" s="60" t="n"/>
      <c r="D19" s="61" t="inlineStr">
        <is>
          <t>erstattungsfähig</t>
        </is>
      </c>
      <c r="E19" s="53">
        <f>C15*E18</f>
        <v/>
      </c>
      <c r="F19" s="61" t="inlineStr">
        <is>
          <t>§ 6 JVEG</t>
        </is>
      </c>
    </row>
    <row r="20"/>
    <row r="21" ht="15" customHeight="1" s="39">
      <c r="B21" s="44" t="inlineStr">
        <is>
          <t>§ 22 JVEG – Verdienstausfall (Selbständige)</t>
        </is>
      </c>
    </row>
    <row r="22" ht="19.5" customHeight="1" s="39">
      <c r="B22" s="45" t="inlineStr">
        <is>
          <t>Position</t>
        </is>
      </c>
      <c r="C22" s="45" t="inlineStr">
        <is>
          <t>Eingabe</t>
        </is>
      </c>
      <c r="D22" s="45" t="inlineStr">
        <is>
          <t>Bemerkung</t>
        </is>
      </c>
      <c r="E22" s="45" t="inlineStr">
        <is>
          <t>Ergebnis (EUR)</t>
        </is>
      </c>
      <c r="F22" s="45" t="inlineStr">
        <is>
          <t>Rechtsgrundlage</t>
        </is>
      </c>
    </row>
    <row r="23" ht="15.75" customHeight="1" s="39">
      <c r="B23" s="46" t="inlineStr">
        <is>
          <t>Vergütungsstunden (netto)</t>
        </is>
      </c>
      <c r="C23" s="62" t="n">
        <v>24</v>
      </c>
      <c r="D23" s="55" t="inlineStr">
        <is>
          <t>Anreisetag + Verhandlung + Rückfahrt</t>
        </is>
      </c>
      <c r="E23" s="48" t="n"/>
      <c r="F23" s="55" t="inlineStr">
        <is>
          <t>§ 22 JVEG</t>
        </is>
      </c>
    </row>
    <row r="24" ht="15.75" customHeight="1" s="39">
      <c r="B24" s="49" t="inlineStr">
        <is>
          <t>Stundensatz netto (EUR/h)</t>
        </is>
      </c>
      <c r="C24" s="56" t="n">
        <v>22</v>
      </c>
      <c r="D24" s="57" t="inlineStr">
        <is>
          <t>Eigene Angabe Zeugin</t>
        </is>
      </c>
      <c r="E24" s="58" t="n"/>
      <c r="F24" s="57" t="inlineStr">
        <is>
          <t>§ 22 JVEG</t>
        </is>
      </c>
    </row>
    <row r="25" ht="15.75" customHeight="1" s="39">
      <c r="B25" s="46" t="inlineStr">
        <is>
          <t>Gesetzl. Höchstsatz (EUR/h)</t>
        </is>
      </c>
      <c r="C25" s="59" t="n">
        <v>25</v>
      </c>
      <c r="D25" s="55" t="inlineStr">
        <is>
          <t>§ 22 JVEG Obergrenze 2026</t>
        </is>
      </c>
      <c r="E25" s="48" t="n"/>
      <c r="F25" s="55" t="inlineStr">
        <is>
          <t>§ 22 JVEG</t>
        </is>
      </c>
    </row>
    <row r="26" ht="15.75" customHeight="1" s="39">
      <c r="B26" s="49" t="inlineStr">
        <is>
          <t>Anerkennungsfähiger Satz</t>
        </is>
      </c>
      <c r="C26" s="58" t="n"/>
      <c r="D26" s="57" t="inlineStr">
        <is>
          <t>MIN(beantragt, Höchstsatz)</t>
        </is>
      </c>
      <c r="E26" s="56">
        <f>MIN(C24,C25)</f>
        <v/>
      </c>
      <c r="F26" s="57" t="inlineStr">
        <is>
          <t>§ 22 JVEG</t>
        </is>
      </c>
    </row>
    <row r="27" ht="15.75" customHeight="1" s="39">
      <c r="B27" s="46" t="inlineStr">
        <is>
          <t>Verdienstausfall beantragt</t>
        </is>
      </c>
      <c r="C27" s="48" t="n"/>
      <c r="D27" s="55" t="inlineStr">
        <is>
          <t>C23 × C24</t>
        </is>
      </c>
      <c r="E27" s="59">
        <f>C23*C24</f>
        <v/>
      </c>
      <c r="F27" s="55" t="inlineStr">
        <is>
          <t>§ 22 JVEG</t>
        </is>
      </c>
    </row>
    <row r="28" ht="15.75" customHeight="1" s="39">
      <c r="B28" s="52" t="inlineStr">
        <is>
          <t>Verdienstausfall erstattf.</t>
        </is>
      </c>
      <c r="C28" s="63" t="n"/>
      <c r="D28" s="61" t="inlineStr">
        <is>
          <t>C23 × anerkennungsf. Satz</t>
        </is>
      </c>
      <c r="E28" s="53">
        <f>C23*E26</f>
        <v/>
      </c>
      <c r="F28" s="61" t="inlineStr">
        <is>
          <t>§ 22 JVEG</t>
        </is>
      </c>
    </row>
    <row r="29"/>
    <row r="30" ht="15" customHeight="1" s="39">
      <c r="B30" s="44" t="inlineStr">
        <is>
          <t>§ 20 JVEG – Zeitversäumnis (falls kein Verdienstausfall)</t>
        </is>
      </c>
    </row>
    <row r="31" ht="19.5" customHeight="1" s="39">
      <c r="B31" s="45" t="inlineStr">
        <is>
          <t>Position</t>
        </is>
      </c>
      <c r="C31" s="45" t="inlineStr">
        <is>
          <t>Eingabe</t>
        </is>
      </c>
      <c r="D31" s="45" t="inlineStr">
        <is>
          <t>Bemerkung</t>
        </is>
      </c>
      <c r="E31" s="45" t="inlineStr">
        <is>
          <t>Ergebnis (EUR)</t>
        </is>
      </c>
      <c r="F31" s="45" t="inlineStr">
        <is>
          <t>Rechtsgrundlage</t>
        </is>
      </c>
    </row>
    <row r="32" ht="15.75" customHeight="1" s="39">
      <c r="B32" s="46" t="inlineStr">
        <is>
          <t>Stunden Zeitversäumnis</t>
        </is>
      </c>
      <c r="C32" s="62" t="n">
        <v>24</v>
      </c>
      <c r="D32" s="55" t="inlineStr">
        <is>
          <t>Alternativ zu Verdienstausfall</t>
        </is>
      </c>
      <c r="E32" s="48" t="n"/>
      <c r="F32" s="55" t="inlineStr">
        <is>
          <t>§ 20 JVEG</t>
        </is>
      </c>
    </row>
    <row r="33" ht="15.75" customHeight="1" s="39">
      <c r="B33" s="49" t="inlineStr">
        <is>
          <t>Stundensatz Zeitversäumnis</t>
        </is>
      </c>
      <c r="C33" s="56" t="n">
        <v>3.5</v>
      </c>
      <c r="D33" s="57" t="inlineStr">
        <is>
          <t>§ 20 JVEG (max. 3,50 EUR/h)</t>
        </is>
      </c>
      <c r="E33" s="58" t="n"/>
      <c r="F33" s="57" t="inlineStr">
        <is>
          <t>§ 20 JVEG</t>
        </is>
      </c>
    </row>
    <row r="34" ht="15.75" customHeight="1" s="39">
      <c r="B34" s="52" t="inlineStr">
        <is>
          <t>Zeitversäumnis gesamt</t>
        </is>
      </c>
      <c r="C34" s="63" t="n"/>
      <c r="D34" s="61" t="inlineStr">
        <is>
          <t>Alternativ – nur wenn kein VE</t>
        </is>
      </c>
      <c r="E34" s="53">
        <f>C32*C33</f>
        <v/>
      </c>
      <c r="F34" s="61" t="inlineStr">
        <is>
          <t>§ 20 JVEG</t>
        </is>
      </c>
    </row>
    <row r="35"/>
    <row r="36" ht="21.75" customHeight="1" s="39">
      <c r="B36" s="64" t="inlineStr">
        <is>
          <t>Zusammenfassung – Gesamtentschädigung</t>
        </is>
      </c>
    </row>
    <row r="37" ht="16.5" customHeight="1" s="39">
      <c r="B37" s="65" t="inlineStr">
        <is>
          <t>Fahrtkosten</t>
        </is>
      </c>
      <c r="C37" s="61" t="inlineStr">
        <is>
          <t>gesetzlich anerkannt</t>
        </is>
      </c>
      <c r="D37" s="66" t="n"/>
      <c r="E37" s="67">
        <f>E11</f>
        <v/>
      </c>
      <c r="F37" s="68" t="n"/>
    </row>
    <row r="38" ht="16.5" customHeight="1" s="39">
      <c r="B38" s="65" t="inlineStr">
        <is>
          <t>Übernachtungskosten (erstattungsfähig)</t>
        </is>
      </c>
      <c r="C38" s="61" t="inlineStr">
        <is>
          <t>mit Belegen bis 160 EUR</t>
        </is>
      </c>
      <c r="D38" s="66" t="n"/>
      <c r="E38" s="67">
        <f>E19</f>
        <v/>
      </c>
      <c r="F38" s="68" t="n"/>
    </row>
    <row r="39" ht="16.5" customHeight="1" s="39">
      <c r="B39" s="65" t="inlineStr">
        <is>
          <t>Verdienstausfall (erstattungsfähig)</t>
        </is>
      </c>
      <c r="C39" s="61" t="inlineStr">
        <is>
          <t>mit Belegen §22 JVEG</t>
        </is>
      </c>
      <c r="D39" s="66" t="n"/>
      <c r="E39" s="67">
        <f>E28</f>
        <v/>
      </c>
      <c r="F39" s="68" t="n"/>
    </row>
    <row r="40" ht="19.5" customHeight="1" s="39">
      <c r="B40" s="69" t="inlineStr">
        <is>
          <t>GESAMT (mit Verdienstausfall)</t>
        </is>
      </c>
      <c r="C40" s="70" t="inlineStr">
        <is>
          <t>Gesamtanspruch</t>
        </is>
      </c>
      <c r="D40" s="66" t="n"/>
      <c r="E40" s="71">
        <f>E37+E38+E39</f>
        <v/>
      </c>
      <c r="F40" s="72" t="n"/>
    </row>
    <row r="41" ht="19.5" customHeight="1" s="39">
      <c r="B41" s="69" t="inlineStr">
        <is>
          <t>GESAMT (ohne Verdienstausfall)</t>
        </is>
      </c>
      <c r="C41" s="70" t="inlineStr">
        <is>
          <t>Vorschussfähiger Kern</t>
        </is>
      </c>
      <c r="D41" s="66" t="n"/>
      <c r="E41" s="71">
        <f>E37+E38</f>
        <v/>
      </c>
      <c r="F41" s="72" t="n"/>
    </row>
    <row r="42"/>
    <row r="43" ht="15" customHeight="1" s="39">
      <c r="B43" s="73" t="inlineStr">
        <is>
          <t>Hinweise und Vorbehalte</t>
        </is>
      </c>
    </row>
    <row r="44" ht="30" customHeight="1" s="39">
      <c r="B44" s="74" t="inlineStr">
        <is>
          <t xml:space="preserve">  1. Verdienstausfall nach §22 JVEG erfordert belastbare Belege (Gewerbeanmeldung, BWA). Ohne Belege entfällt diese Position.</t>
        </is>
      </c>
    </row>
    <row r="45" ht="30" customHeight="1" s="39">
      <c r="B45" s="74" t="inlineStr">
        <is>
          <t xml:space="preserve">  2. Kilometersatz 0,35 EUR gilt für Zeugen (§5 Abs. 2 Nr.1 JVEG, Stand 2026). Bei Nutzung öffentlicher Verkehrsmittel gelten die tatsächlichen Kosten.</t>
        </is>
      </c>
    </row>
    <row r="46" ht="30" customHeight="1" s="39">
      <c r="B46" s="74" t="inlineStr">
        <is>
          <t xml:space="preserve">  3. Übernachtungskosten werden nur bis zur Obergrenze von 80 EUR/Nacht erstattet; höhere Kosten bedürfen besonderer Begründung.</t>
        </is>
      </c>
    </row>
    <row r="47" ht="30" customHeight="1" s="39">
      <c r="B47" s="74" t="inlineStr">
        <is>
          <t xml:space="preserve">  4. Zeitversäumnis (§20 JVEG, max. 3,50 EUR/h) ist nur anzusetzen, wenn kein Verdienstausfall nachgewiesen werden kann.</t>
        </is>
      </c>
    </row>
    <row r="48" ht="30" customHeight="1" s="39">
      <c r="B48" s="74" t="inlineStr">
        <is>
          <t xml:space="preserve">  5. Berechnungsstand nach den vorgelegten Belegen; Rundungsdifferenzen vorbehalten.</t>
        </is>
      </c>
    </row>
  </sheetData>
  <mergeCells count="20">
    <mergeCell ref="B47:F47"/>
    <mergeCell ref="B3:F3"/>
    <mergeCell ref="B46:F46"/>
    <mergeCell ref="B21:F21"/>
    <mergeCell ref="E4:F4"/>
    <mergeCell ref="B43:F43"/>
    <mergeCell ref="B2:F2"/>
    <mergeCell ref="B48:F48"/>
    <mergeCell ref="C41:D41"/>
    <mergeCell ref="C40:D40"/>
    <mergeCell ref="B13:F13"/>
    <mergeCell ref="B44:F44"/>
    <mergeCell ref="B4:D4"/>
    <mergeCell ref="C39:D39"/>
    <mergeCell ref="B30:F30"/>
    <mergeCell ref="B6:F6"/>
    <mergeCell ref="C38:D38"/>
    <mergeCell ref="C37:D37"/>
    <mergeCell ref="B45:F45"/>
    <mergeCell ref="B36:F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38" min="1" max="1"/>
    <col width="38" customWidth="1" style="38" min="2" max="2"/>
    <col width="20" customWidth="1" style="38" min="3" max="4"/>
    <col width="3" customWidth="1" style="38" min="5" max="5"/>
  </cols>
  <sheetData>
    <row r="1"/>
    <row r="2" ht="25.5" customHeight="1" s="39">
      <c r="B2" s="40" t="inlineStr">
        <is>
          <t>Vorschuss-Prüfung nach § 3 JVEG</t>
        </is>
      </c>
    </row>
    <row r="3" ht="15" customHeight="1" s="39">
      <c r="B3" s="41" t="inlineStr">
        <is>
          <t>Az. 7 O 118/23 · Zeugin Dr. Sophia Berger · Schreiben LG Tübingen vom 27.01.2026</t>
        </is>
      </c>
    </row>
    <row r="4"/>
    <row r="5" ht="19.5" customHeight="1" s="39">
      <c r="B5" s="45" t="inlineStr">
        <is>
          <t>Tatbestandsmerkmal § 3 JVEG</t>
        </is>
      </c>
      <c r="C5" s="45" t="inlineStr">
        <is>
          <t>Sachverhalt</t>
        </is>
      </c>
      <c r="D5" s="45" t="inlineStr">
        <is>
          <t>Erfüllt?</t>
        </is>
      </c>
    </row>
    <row r="6" ht="30" customHeight="1" s="39">
      <c r="B6" s="46" t="inlineStr">
        <is>
          <t>Antrag des Berechtigten</t>
        </is>
      </c>
      <c r="C6" s="46" t="inlineStr">
        <is>
          <t>Vorschussantrag v. 17.01.2025 liegt vor</t>
        </is>
      </c>
      <c r="D6" s="75" t="inlineStr">
        <is>
          <t>JA</t>
        </is>
      </c>
    </row>
    <row r="7" ht="30" customHeight="1" s="39">
      <c r="B7" s="49" t="inlineStr">
        <is>
          <t>Erhebliche Fahrtkosten</t>
        </is>
      </c>
      <c r="C7" s="49" t="inlineStr">
        <is>
          <t>875,00 EUR (2.500 km × 0,35 EUR) – weit oberhalb jeder Schwelle</t>
        </is>
      </c>
      <c r="D7" s="75" t="inlineStr">
        <is>
          <t>JA</t>
        </is>
      </c>
    </row>
    <row r="8" ht="30" customHeight="1" s="39">
      <c r="B8" s="46" t="inlineStr">
        <is>
          <t>Sonstige erhebliche Aufwendungen</t>
        </is>
      </c>
      <c r="C8" s="46" t="inlineStr">
        <is>
          <t>Übernachtung 160,00 EUR notwendig (13h Fahrtzeit)</t>
        </is>
      </c>
      <c r="D8" s="75" t="inlineStr">
        <is>
          <t>JA</t>
        </is>
      </c>
    </row>
    <row r="9" ht="30" customHeight="1" s="39">
      <c r="B9" s="49" t="inlineStr">
        <is>
          <t>Bedürftigkeit der Zeugin</t>
        </is>
      </c>
      <c r="C9" s="49" t="inlineStr">
        <is>
          <t>KEIN Tatbestandsmerkmal des § 3 JVEG</t>
        </is>
      </c>
      <c r="D9" s="76" t="inlineStr">
        <is>
          <t>IRRELEVANT</t>
        </is>
      </c>
    </row>
    <row r="10" ht="30" customHeight="1" s="39">
      <c r="B10" s="46" t="inlineStr">
        <is>
          <t>Gerichtliche Ablehnungsbegründung tragfähig?</t>
        </is>
      </c>
      <c r="C10" s="46" t="inlineStr">
        <is>
          <t>Nein – § 3 JVEG kennt kein Bedürftigkeitsmerkmal</t>
        </is>
      </c>
      <c r="D10" s="77" t="inlineStr">
        <is>
          <t>NEIN</t>
        </is>
      </c>
    </row>
    <row r="11" ht="30" customHeight="1" s="39">
      <c r="B11" s="49" t="inlineStr">
        <is>
          <t>Erfolgsaussichten Vorschussantrag</t>
        </is>
      </c>
      <c r="C11" s="49" t="inlineStr">
        <is>
          <t>Gut – alle gesetzlichen Voraussetzungen erfüllt</t>
        </is>
      </c>
      <c r="D11" s="75" t="inlineStr">
        <is>
          <t>GUT</t>
        </is>
      </c>
    </row>
  </sheetData>
  <mergeCells count="2">
    <mergeCell ref="B3:D3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2026-05-22T23:39:14Z</dcterms:created>
  <dcterms:modified xmlns:dcterms="http://purl.org/dc/terms/" xmlns:xsi="http://www.w3.org/2001/XMLSchema-instance" xsi:type="dcterms:W3CDTF">2026-07-15T17:32:05Z</dcterms:modified>
  <cp:revision>0</cp:revision>
</cp:coreProperties>
</file>