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ilungsplan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&quot; EUR&quot;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4E79"/>
      <sz val="14"/>
    </font>
    <font>
      <name val="Calibri"/>
      <charset val="1"/>
      <family val="0"/>
      <i val="1"/>
      <color rgb="FF7F7F7F"/>
      <sz val="9"/>
    </font>
    <font>
      <name val="Calibri"/>
      <charset val="1"/>
      <family val="0"/>
      <i val="1"/>
      <color rgb="FF595959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4E79"/>
      <sz val="10"/>
    </font>
    <font>
      <name val="Calibri"/>
      <charset val="1"/>
      <family val="0"/>
      <sz val="10"/>
    </font>
    <font>
      <name val="Calibri"/>
      <charset val="1"/>
      <family val="0"/>
      <b val="1"/>
      <sz val="10"/>
    </font>
  </fonts>
  <fills count="4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164" fontId="9" fillId="0" borderId="1" applyAlignment="1" pivotButton="0" quotePrefix="0" xfId="0">
      <alignment horizontal="left" vertical="center"/>
    </xf>
    <xf numFmtId="164" fontId="9" fillId="0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left" vertical="center"/>
    </xf>
    <xf numFmtId="164" fontId="10" fillId="3" borderId="1" applyAlignment="1" pivotButton="0" quotePrefix="0" xfId="0">
      <alignment horizontal="left" vertical="center"/>
    </xf>
    <xf numFmtId="164" fontId="10" fillId="3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/>
    </xf>
    <xf numFmtId="164" fontId="10" fillId="0" borderId="1" applyAlignment="1" pivotButton="0" quotePrefix="0" xfId="0">
      <alignment horizontal="left" vertical="center"/>
    </xf>
    <xf numFmtId="164" fontId="10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left" vertical="center"/>
    </xf>
    <xf numFmtId="164" fontId="7" fillId="2" borderId="1" applyAlignment="1" pivotButton="0" quotePrefix="0" xfId="0">
      <alignment horizontal="left" vertical="center"/>
    </xf>
    <xf numFmtId="164" fontId="7" fillId="2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164" fontId="9" fillId="0" borderId="1" applyAlignment="1" pivotButton="0" quotePrefix="0" xfId="0">
      <alignment horizontal="left" vertical="center"/>
    </xf>
    <xf numFmtId="164" fontId="9" fillId="0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left" vertical="center"/>
    </xf>
    <xf numFmtId="164" fontId="10" fillId="3" borderId="1" applyAlignment="1" pivotButton="0" quotePrefix="0" xfId="0">
      <alignment horizontal="left" vertical="center"/>
    </xf>
    <xf numFmtId="164" fontId="10" fillId="3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/>
    </xf>
    <xf numFmtId="164" fontId="10" fillId="0" borderId="1" applyAlignment="1" pivotButton="0" quotePrefix="0" xfId="0">
      <alignment horizontal="left" vertical="center"/>
    </xf>
    <xf numFmtId="164" fontId="10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left" vertical="center"/>
    </xf>
    <xf numFmtId="164" fontId="7" fillId="2" borderId="1" applyAlignment="1" pivotButton="0" quotePrefix="0" xfId="0">
      <alignment horizontal="left" vertical="center"/>
    </xf>
    <xf numFmtId="164" fontId="7" fillId="2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4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" customWidth="1" style="19" min="1" max="1"/>
    <col width="5" customWidth="1" style="19" min="2" max="2"/>
    <col width="30" customWidth="1" style="19" min="3" max="3"/>
    <col width="14" customWidth="1" style="19" min="4" max="8"/>
  </cols>
  <sheetData>
    <row r="1" ht="6" customHeight="1" s="20"/>
    <row r="2" ht="21.75" customHeight="1" s="20">
      <c r="B2" s="21" t="inlineStr">
        <is>
          <t>Teilungsplan – Az. 71 K 18/26 · Amtsgericht Hamburg · Bargebot 534.000,00 EUR</t>
        </is>
      </c>
    </row>
    <row r="3" ht="12.75" customHeight="1" s="20">
      <c r="B3" s="22" t="inlineStr">
        <is>
          <t>Objekt: WE Nr. 9, Eppendorfer Mühlenbogen 16, 20249 Hamburg · Versteigerungstermin: 16.07.2026</t>
        </is>
      </c>
    </row>
    <row r="4" ht="12.75" customHeight="1" s="20">
      <c r="B4" s="23" t="inlineStr">
        <is>
          <t>Die Rangklassen richten sich nach § 10 Abs. 1 ZVG. Höhere Rangklassen (niedrigere Zahlen) werden vor nachrangigen befriedigt.</t>
        </is>
      </c>
    </row>
    <row r="5"/>
    <row r="6" ht="19.5" customHeight="1" s="20">
      <c r="B6" s="24" t="inlineStr">
        <is>
          <t>Rang-
klasse</t>
        </is>
      </c>
      <c r="C6" s="24" t="inlineStr">
        <is>
          <t>Gläubiger / Position</t>
        </is>
      </c>
      <c r="D6" s="24" t="inlineStr">
        <is>
          <t>Angemeldete
Forderung (EUR)</t>
        </is>
      </c>
      <c r="E6" s="24" t="inlineStr">
        <is>
          <t>Zinsen /
Kosten (EUR)</t>
        </is>
      </c>
      <c r="F6" s="24" t="inlineStr">
        <is>
          <t>Anerkannt
(EUR)</t>
        </is>
      </c>
      <c r="G6" s="24" t="inlineStr">
        <is>
          <t>Befriedigt
(EUR)</t>
        </is>
      </c>
      <c r="H6" s="24" t="inlineStr">
        <is>
          <t>Restforderung
(EUR)</t>
        </is>
      </c>
    </row>
    <row r="7" ht="15" customHeight="1" s="20">
      <c r="B7" s="25" t="inlineStr">
        <is>
          <t>A. Erlösverteilung: Eingangsgröße</t>
        </is>
      </c>
    </row>
    <row r="8" ht="15.75" customHeight="1" s="20">
      <c r="B8" s="26" t="n"/>
      <c r="C8" s="27" t="inlineStr">
        <is>
          <t>Bargebot (Erlös)</t>
        </is>
      </c>
      <c r="D8" s="28" t="n">
        <v>534000</v>
      </c>
      <c r="E8" s="27" t="n"/>
      <c r="F8" s="28" t="n">
        <v>534000</v>
      </c>
      <c r="G8" s="27" t="n"/>
      <c r="H8" s="27" t="n"/>
    </row>
    <row r="9" ht="15.75" customHeight="1" s="20">
      <c r="B9" s="26" t="n"/>
      <c r="C9" s="27" t="inlineStr">
        <is>
          <t>Zinsansprüche auf Bargebot (§ 49 Abs. 2 ZVG, Schätzung)</t>
        </is>
      </c>
      <c r="D9" s="28" t="n">
        <v>0</v>
      </c>
      <c r="E9" s="28" t="n">
        <v>0</v>
      </c>
      <c r="F9" s="28" t="n">
        <v>0</v>
      </c>
      <c r="G9" s="27" t="n"/>
      <c r="H9" s="27" t="n"/>
    </row>
    <row r="10" ht="15.75" customHeight="1" s="20">
      <c r="B10" s="29" t="n"/>
      <c r="C10" s="30" t="inlineStr">
        <is>
          <t>Verfügbare Teilungsmasse</t>
        </is>
      </c>
      <c r="D10" s="30" t="n"/>
      <c r="E10" s="30" t="n"/>
      <c r="F10" s="31">
        <f>E8+E9</f>
        <v/>
      </c>
      <c r="G10" s="30" t="n"/>
      <c r="H10" s="30" t="n"/>
    </row>
    <row r="11"/>
    <row r="12" ht="16.5" customHeight="1" s="20">
      <c r="B12" s="25" t="inlineStr">
        <is>
          <t>B. Rangklasse 1 – Öffentliche Lasten (§ 10 Abs. 1 Nr. 1 ZVG)</t>
        </is>
      </c>
    </row>
    <row r="13" ht="15.75" customHeight="1" s="20">
      <c r="B13" s="26" t="inlineStr">
        <is>
          <t>1</t>
        </is>
      </c>
      <c r="C13" s="27" t="inlineStr">
        <is>
          <t>Grundsteuer Hamburg 2025 (vorläufige Schätzung)</t>
        </is>
      </c>
      <c r="D13" s="28" t="n">
        <v>1240</v>
      </c>
      <c r="E13" s="28" t="n">
        <v>0</v>
      </c>
      <c r="F13" s="28" t="n">
        <v>1240</v>
      </c>
      <c r="G13" s="28" t="n">
        <v>1240</v>
      </c>
      <c r="H13" s="28">
        <f>D13-G13</f>
        <v/>
      </c>
    </row>
    <row r="14" ht="15.75" customHeight="1" s="20">
      <c r="B14" s="26" t="inlineStr">
        <is>
          <t>1</t>
        </is>
      </c>
      <c r="C14" s="27" t="inlineStr">
        <is>
          <t>Grundsteuer Hamburg 2026 (anteilig Jan–Jul, Schätzung)</t>
        </is>
      </c>
      <c r="D14" s="28" t="n">
        <v>725</v>
      </c>
      <c r="E14" s="28" t="n">
        <v>0</v>
      </c>
      <c r="F14" s="28" t="n">
        <v>725</v>
      </c>
      <c r="G14" s="28" t="n">
        <v>725</v>
      </c>
      <c r="H14" s="28">
        <f>D14-G14</f>
        <v/>
      </c>
    </row>
    <row r="15" ht="15.75" customHeight="1" s="20">
      <c r="B15" s="29" t="n"/>
      <c r="C15" s="30" t="inlineStr">
        <is>
          <t>Summe Rangklasse 1</t>
        </is>
      </c>
      <c r="D15" s="31">
        <f>SUM(D13:D14)</f>
        <v/>
      </c>
      <c r="E15" s="30" t="n"/>
      <c r="F15" s="31">
        <f>SUM(F13:F14)</f>
        <v/>
      </c>
      <c r="G15" s="31">
        <f>SUM(G13:G14)</f>
        <v/>
      </c>
      <c r="H15" s="31">
        <f>SUM(H13:H14)</f>
        <v/>
      </c>
    </row>
    <row r="16"/>
    <row r="17" ht="16.5" customHeight="1" s="20">
      <c r="B17" s="25" t="inlineStr">
        <is>
          <t>C. Rangklasse 2 – Hausgeld WEG (§ 10 Abs. 1 Nr. 2 ZVG, max. 5 % VW = 34.250,00 EUR)</t>
        </is>
      </c>
    </row>
    <row r="18" ht="15.75" customHeight="1" s="20">
      <c r="B18" s="26" t="inlineStr">
        <is>
          <t>2</t>
        </is>
      </c>
      <c r="C18" s="27" t="inlineStr">
        <is>
          <t>WEG Eppendorfer Mühlenbogen 16 – Hausgeld-Rückstände 2024</t>
        </is>
      </c>
      <c r="D18" s="28" t="n">
        <v>6144</v>
      </c>
      <c r="E18" s="28" t="n">
        <v>0</v>
      </c>
      <c r="F18" s="28" t="n">
        <v>6144</v>
      </c>
      <c r="G18" s="28" t="n">
        <v>6144</v>
      </c>
      <c r="H18" s="28">
        <f>D18-G18</f>
        <v/>
      </c>
    </row>
    <row r="19" ht="15.75" customHeight="1" s="20">
      <c r="B19" s="26" t="inlineStr">
        <is>
          <t>2</t>
        </is>
      </c>
      <c r="C19" s="27" t="inlineStr">
        <is>
          <t>WEG – lfd. Hausgeld Jan–Jul 2026 (7 × 512 EUR, unbezahlt per Zuschlagstermin)</t>
        </is>
      </c>
      <c r="D19" s="28" t="n">
        <v>3584</v>
      </c>
      <c r="E19" s="28" t="n">
        <v>0</v>
      </c>
      <c r="F19" s="28" t="n">
        <v>3584</v>
      </c>
      <c r="G19" s="28" t="n">
        <v>3584</v>
      </c>
      <c r="H19" s="28">
        <f>D19-G19</f>
        <v/>
      </c>
    </row>
    <row r="20" ht="15.75" customHeight="1" s="20">
      <c r="B20" s="26" t="inlineStr">
        <is>
          <t>2</t>
        </is>
      </c>
      <c r="C20" s="27" t="inlineStr">
        <is>
          <t>Zwangssicherungshypothek WEG (Abt. III Nr. 2, Kapital)</t>
        </is>
      </c>
      <c r="D20" s="28" t="n">
        <v>38400</v>
      </c>
      <c r="E20" s="28" t="n">
        <v>0</v>
      </c>
      <c r="F20" s="28" t="n">
        <v>28522</v>
      </c>
      <c r="G20" s="28" t="n">
        <v>28522</v>
      </c>
      <c r="H20" s="28" t="inlineStr">
        <is>
          <t>Kapital anerkannt soweit 5 %-Grenze nicht überschritten</t>
        </is>
      </c>
    </row>
    <row r="21" ht="15.75" customHeight="1" s="20">
      <c r="B21" s="29" t="n"/>
      <c r="C21" s="30" t="inlineStr">
        <is>
          <t>Summe Rangklasse 2</t>
        </is>
      </c>
      <c r="D21" s="31">
        <f>SUM(D18:D20)</f>
        <v/>
      </c>
      <c r="E21" s="30" t="n"/>
      <c r="F21" s="31">
        <f>SUM(F18:F20)</f>
        <v/>
      </c>
      <c r="G21" s="31">
        <f>SUM(G18:G20)</f>
        <v/>
      </c>
      <c r="H21" s="31">
        <f>SUM(H18:H20)</f>
        <v/>
      </c>
    </row>
    <row r="22"/>
    <row r="23" ht="16.5" customHeight="1" s="20">
      <c r="B23" s="25" t="inlineStr">
        <is>
          <t>D. Rangklasse 4 – Kosten des Verfahrens (§ 10 Abs. 1 Nr. 4 ZVG)</t>
        </is>
      </c>
    </row>
    <row r="24" ht="15.75" customHeight="1" s="20">
      <c r="B24" s="26" t="inlineStr">
        <is>
          <t>4</t>
        </is>
      </c>
      <c r="C24" s="27" t="inlineStr">
        <is>
          <t>Gerichtsgebühren (GKG, 3,0-facher Satz, Wert 685.000 EUR)</t>
        </is>
      </c>
      <c r="D24" s="28" t="n">
        <v>7242</v>
      </c>
      <c r="E24" s="28" t="n">
        <v>0</v>
      </c>
      <c r="F24" s="28" t="n">
        <v>7242</v>
      </c>
      <c r="G24" s="28" t="n">
        <v>7242</v>
      </c>
      <c r="H24" s="28">
        <f>D24-G24</f>
        <v/>
      </c>
    </row>
    <row r="25" ht="15.75" customHeight="1" s="20">
      <c r="B25" s="26" t="inlineStr">
        <is>
          <t>4</t>
        </is>
      </c>
      <c r="C25" s="27" t="inlineStr">
        <is>
          <t>Gutachterhonorar Dipl.-Ing. Malkwitz</t>
        </is>
      </c>
      <c r="D25" s="28" t="n">
        <v>3800</v>
      </c>
      <c r="E25" s="28" t="n">
        <v>0</v>
      </c>
      <c r="F25" s="28" t="n">
        <v>3800</v>
      </c>
      <c r="G25" s="28" t="n">
        <v>3800</v>
      </c>
      <c r="H25" s="28">
        <f>D25-G25</f>
        <v/>
      </c>
    </row>
    <row r="26" ht="15.75" customHeight="1" s="20">
      <c r="B26" s="26" t="inlineStr">
        <is>
          <t>4</t>
        </is>
      </c>
      <c r="C26" s="27" t="inlineStr">
        <is>
          <t>Gerichtliche Auslagen (Bekanntmachungen, Zustellungen)</t>
        </is>
      </c>
      <c r="D26" s="28" t="n">
        <v>1240</v>
      </c>
      <c r="E26" s="28" t="n">
        <v>0</v>
      </c>
      <c r="F26" s="28" t="n">
        <v>1240</v>
      </c>
      <c r="G26" s="28" t="n">
        <v>1240</v>
      </c>
      <c r="H26" s="28">
        <f>D26-G26</f>
        <v/>
      </c>
    </row>
    <row r="27" ht="15.75" customHeight="1" s="20">
      <c r="B27" s="26" t="inlineStr">
        <is>
          <t>4</t>
        </is>
      </c>
      <c r="C27" s="27" t="inlineStr">
        <is>
          <t>Zwangsverwalterkosten (71 L 44/25, Schätzung)</t>
        </is>
      </c>
      <c r="D27" s="28" t="n">
        <v>7232</v>
      </c>
      <c r="E27" s="28" t="n">
        <v>0</v>
      </c>
      <c r="F27" s="28" t="n">
        <v>7232</v>
      </c>
      <c r="G27" s="28" t="n">
        <v>7232</v>
      </c>
      <c r="H27" s="28">
        <f>D27-G27</f>
        <v/>
      </c>
    </row>
    <row r="28" ht="15.75" customHeight="1" s="20">
      <c r="B28" s="29" t="n"/>
      <c r="C28" s="30" t="inlineStr">
        <is>
          <t>Summe Rangklasse 4</t>
        </is>
      </c>
      <c r="D28" s="31">
        <f>SUM(D24:D27)</f>
        <v/>
      </c>
      <c r="E28" s="30" t="n"/>
      <c r="F28" s="31">
        <f>SUM(F24:F27)</f>
        <v/>
      </c>
      <c r="G28" s="31">
        <f>SUM(G24:G27)</f>
        <v/>
      </c>
      <c r="H28" s="31">
        <f>SUM(H24:H27)</f>
        <v/>
      </c>
    </row>
    <row r="29"/>
    <row r="30" ht="16.5" customHeight="1" s="20">
      <c r="B30" s="25" t="inlineStr">
        <is>
          <t>E. Rangklasse 5 – Grundpfandrecht betreibende Gläubigerin (§ 10 Abs. 1 Nr. 5 ZVG)</t>
        </is>
      </c>
    </row>
    <row r="31" ht="15.75" customHeight="1" s="20">
      <c r="B31" s="26" t="inlineStr">
        <is>
          <t>5</t>
        </is>
      </c>
      <c r="C31" s="27" t="inlineStr">
        <is>
          <t>Nordelbe Kreditbank AG – Grundschuld Kapital (Abt. III Nr. 1)</t>
        </is>
      </c>
      <c r="D31" s="28" t="n">
        <v>520000</v>
      </c>
      <c r="E31" s="28" t="n">
        <v>0</v>
      </c>
      <c r="F31" s="28" t="n">
        <v>520000</v>
      </c>
      <c r="G31" s="27" t="n"/>
      <c r="H31" s="27" t="n"/>
    </row>
    <row r="32" ht="15.75" customHeight="1" s="20">
      <c r="B32" s="26" t="inlineStr">
        <is>
          <t>5</t>
        </is>
      </c>
      <c r="C32" s="27" t="inlineStr">
        <is>
          <t>Nordelbe Kreditbank AG – aufgelaufene Zinsen (Schätzung 4,5 % p.a. seit 2023)</t>
        </is>
      </c>
      <c r="D32" s="28" t="n">
        <v>0</v>
      </c>
      <c r="E32" s="28" t="n">
        <v>42120</v>
      </c>
      <c r="F32" s="28" t="n">
        <v>42120</v>
      </c>
      <c r="G32" s="27" t="n"/>
      <c r="H32" s="27" t="n"/>
    </row>
    <row r="33" ht="15.75" customHeight="1" s="20">
      <c r="B33" s="26" t="inlineStr">
        <is>
          <t>5</t>
        </is>
      </c>
      <c r="C33" s="27" t="inlineStr">
        <is>
          <t>Nordelbe Kreditbank AG – Vollstreckungskosten</t>
        </is>
      </c>
      <c r="D33" s="28" t="n">
        <v>0</v>
      </c>
      <c r="E33" s="28" t="n">
        <v>8450</v>
      </c>
      <c r="F33" s="28" t="n">
        <v>8450</v>
      </c>
      <c r="G33" s="27" t="n"/>
      <c r="H33" s="27" t="n"/>
    </row>
    <row r="34" ht="15.75" customHeight="1" s="20">
      <c r="B34" s="32" t="inlineStr">
        <is>
          <t>5</t>
        </is>
      </c>
      <c r="C34" s="33" t="inlineStr">
        <is>
          <t>Angemeldete Gesamtforderung Nordelbe KB</t>
        </is>
      </c>
      <c r="D34" s="34">
        <f>SUM(D31:D32)+E33</f>
        <v/>
      </c>
      <c r="E34" s="33" t="n"/>
      <c r="F34" s="34">
        <f>SUM(F31:F33)</f>
        <v/>
      </c>
      <c r="G34" s="33" t="n"/>
      <c r="H34" s="33" t="n"/>
    </row>
    <row r="35"/>
    <row r="36" ht="16.5" customHeight="1" s="20">
      <c r="B36" s="25" t="inlineStr">
        <is>
          <t>F. Verteilung des Resterlöses auf betreibende Gläubigerin</t>
        </is>
      </c>
    </row>
    <row r="37" ht="15.75" customHeight="1" s="20">
      <c r="B37" s="29" t="inlineStr">
        <is>
          <t>5</t>
        </is>
      </c>
      <c r="C37" s="30" t="inlineStr">
        <is>
          <t>Verfügbare Masse nach Rang 1–4</t>
        </is>
      </c>
      <c r="D37" s="30" t="n"/>
      <c r="E37" s="30" t="n"/>
      <c r="F37" s="31">
        <f>F10-G15-G21-G28</f>
        <v/>
      </c>
      <c r="G37" s="30" t="n"/>
      <c r="H37" s="30" t="n"/>
    </row>
    <row r="38" ht="15.75" customHeight="1" s="20">
      <c r="B38" s="26" t="inlineStr">
        <is>
          <t>5</t>
        </is>
      </c>
      <c r="C38" s="27" t="inlineStr">
        <is>
          <t>Nordelbe Kreditbank AG – Auszahlung (Resterlös)</t>
        </is>
      </c>
      <c r="D38" s="27" t="n"/>
      <c r="E38" s="27" t="n"/>
      <c r="F38" s="28">
        <f>F37</f>
        <v/>
      </c>
      <c r="G38" s="28">
        <f>F37</f>
        <v/>
      </c>
      <c r="H38" s="28">
        <f>F34-G38</f>
        <v/>
      </c>
    </row>
    <row r="39" ht="15.75" customHeight="1" s="20">
      <c r="B39" s="29" t="n"/>
      <c r="C39" s="30" t="inlineStr">
        <is>
          <t>Summe Rangklasse 5 (Befriedigung)</t>
        </is>
      </c>
      <c r="D39" s="30" t="n"/>
      <c r="E39" s="30" t="n"/>
      <c r="F39" s="31">
        <f>F38</f>
        <v/>
      </c>
      <c r="G39" s="31">
        <f>G38</f>
        <v/>
      </c>
      <c r="H39" s="31">
        <f>H38</f>
        <v/>
      </c>
    </row>
    <row r="40"/>
    <row r="41" ht="16.5" customHeight="1" s="20">
      <c r="B41" s="25" t="inlineStr">
        <is>
          <t>G. Ergebnis</t>
        </is>
      </c>
    </row>
    <row r="42" ht="15.75" customHeight="1" s="20">
      <c r="B42" s="32" t="n"/>
      <c r="C42" s="33" t="inlineStr">
        <is>
          <t>Gesamterlös</t>
        </is>
      </c>
      <c r="D42" s="33" t="n"/>
      <c r="E42" s="33" t="n"/>
      <c r="F42" s="34" t="n">
        <v>534000</v>
      </c>
      <c r="G42" s="33" t="n"/>
      <c r="H42" s="33" t="n"/>
    </row>
    <row r="43" ht="15.75" customHeight="1" s="20">
      <c r="B43" s="32" t="n"/>
      <c r="C43" s="33" t="inlineStr">
        <is>
          <t>Ausgekehrt an Gläubiger gesamt</t>
        </is>
      </c>
      <c r="D43" s="33" t="n"/>
      <c r="E43" s="33" t="n"/>
      <c r="F43" s="34">
        <f>G15+G21+G28+G38</f>
        <v/>
      </c>
      <c r="G43" s="33" t="n"/>
      <c r="H43" s="33" t="n"/>
    </row>
    <row r="44" ht="15.75" customHeight="1" s="20">
      <c r="A44" s="35" t="n"/>
      <c r="B44" s="36" t="n"/>
      <c r="C44" s="37" t="inlineStr">
        <is>
          <t>Verbleibender Überschuss (§ 107 ZVG → Schuldner)</t>
        </is>
      </c>
      <c r="D44" s="37" t="n"/>
      <c r="E44" s="37" t="n"/>
      <c r="F44" s="38">
        <f>F42-F43</f>
        <v/>
      </c>
      <c r="G44" s="37" t="n"/>
      <c r="H44" s="37" t="n"/>
    </row>
  </sheetData>
  <mergeCells count="9">
    <mergeCell ref="B36:H36"/>
    <mergeCell ref="B17:H17"/>
    <mergeCell ref="B41:H41"/>
    <mergeCell ref="B4:H4"/>
    <mergeCell ref="B12:H12"/>
    <mergeCell ref="B30:H30"/>
    <mergeCell ref="B2:H2"/>
    <mergeCell ref="B7:H7"/>
    <mergeCell ref="B23:H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2026-05-22T23:44:27Z</dcterms:created>
  <dcterms:modified xmlns:dcterms="http://purl.org/dc/terms/" xmlns:xsi="http://www.w3.org/2001/XMLSchema-instance" xsi:type="dcterms:W3CDTF">2026-07-15T16:01:34Z</dcterms:modified>
  <cp:revision>0</cp:revision>
</cp:coreProperties>
</file>