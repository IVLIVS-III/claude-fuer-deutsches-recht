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rgleichswert" sheetId="1" state="visible" r:id="rId1"/>
    <sheet xmlns:r="http://schemas.openxmlformats.org/officeDocument/2006/relationships" name="Ertragswer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0&quot; EUR&quot;"/>
    <numFmt numFmtId="166" formatCode="0.000"/>
    <numFmt numFmtId="167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3"/>
    </font>
    <font>
      <name val="Calibri"/>
      <charset val="1"/>
      <family val="0"/>
      <i val="1"/>
      <color rgb="FF7F7F7F"/>
      <sz val="9"/>
    </font>
    <font>
      <name val="Calibri"/>
      <charset val="1"/>
      <family val="0"/>
      <b val="1"/>
      <color rgb="FF1F4E79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sz val="10"/>
    </font>
    <font>
      <name val="Calibri"/>
      <charset val="1"/>
      <family val="0"/>
      <b val="1"/>
      <sz val="10"/>
    </font>
    <font>
      <name val="Calibri"/>
      <charset val="1"/>
      <family val="0"/>
      <i val="1"/>
      <color rgb="FF595959"/>
      <sz val="9"/>
    </font>
  </fonts>
  <fills count="4">
    <fill>
      <patternFill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165" fontId="9" fillId="2" borderId="1" applyAlignment="1" pivotButton="0" quotePrefix="0" xfId="0">
      <alignment horizontal="left" vertical="center"/>
    </xf>
    <xf numFmtId="165" fontId="9" fillId="2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165" fontId="7" fillId="3" borderId="1" applyAlignment="1" pivotButton="0" quotePrefix="0" xfId="0">
      <alignment horizontal="left" vertical="center"/>
    </xf>
    <xf numFmtId="165" fontId="7" fillId="3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165" fontId="9" fillId="2" borderId="1" applyAlignment="1" pivotButton="0" quotePrefix="0" xfId="0">
      <alignment horizontal="left" vertical="center"/>
    </xf>
    <xf numFmtId="165" fontId="9" fillId="2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165" fontId="7" fillId="3" borderId="1" applyAlignment="1" pivotButton="0" quotePrefix="0" xfId="0">
      <alignment horizontal="left" vertical="center"/>
    </xf>
    <xf numFmtId="165" fontId="7" fillId="3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" customWidth="1" style="24" min="1" max="1"/>
    <col width="28" customWidth="1" style="24" min="2" max="2"/>
    <col width="12" customWidth="1" style="24" min="3" max="3"/>
    <col width="10" customWidth="1" style="24" min="4" max="7"/>
    <col width="12" customWidth="1" style="24" min="8" max="8"/>
  </cols>
  <sheetData>
    <row r="1" ht="6" customHeight="1" s="25"/>
    <row r="2" ht="21.75" customHeight="1" s="25">
      <c r="B2" s="26" t="inlineStr">
        <is>
          <t>Verkehrswertermittlung – Vergleichswertverfahren (§§ 15, 16 ImmoWertV)</t>
        </is>
      </c>
    </row>
    <row r="3" ht="12.75" customHeight="1" s="25">
      <c r="B3" s="27" t="inlineStr">
        <is>
          <t>Az. 71 K 18/26 · WE Nr. 9, Eppendorfer Mühlenbogen 16, 20249 Hamburg · Stichtag: 28.04.2026</t>
        </is>
      </c>
    </row>
    <row r="4"/>
    <row r="5" ht="16.5" customHeight="1" s="25">
      <c r="B5" s="28" t="inlineStr">
        <is>
          <t>A. Vergleichspreise (Vergleichsdaten, Stichtag ca. 28.04.2026)</t>
        </is>
      </c>
    </row>
    <row r="6" ht="19.5" customHeight="1" s="25">
      <c r="B6" s="29" t="inlineStr">
        <is>
          <t>Vergleichsobjekt</t>
        </is>
      </c>
      <c r="C6" s="29" t="inlineStr">
        <is>
          <t>Wohnfläche (qm)</t>
        </is>
      </c>
      <c r="D6" s="29" t="inlineStr">
        <is>
          <t>Lage</t>
        </is>
      </c>
      <c r="E6" s="29" t="inlineStr">
        <is>
          <t>Kaufpreis (EUR)</t>
        </is>
      </c>
      <c r="F6" s="29" t="inlineStr">
        <is>
          <t>EUR/qm</t>
        </is>
      </c>
      <c r="G6" s="29" t="inlineStr">
        <is>
          <t>Abgleich
Ausstattung</t>
        </is>
      </c>
      <c r="H6" s="29" t="inlineStr">
        <is>
          <t>Bereinigter
EUR/qm</t>
        </is>
      </c>
    </row>
    <row r="7" ht="15" customHeight="1" s="25">
      <c r="B7" s="30" t="inlineStr">
        <is>
          <t>V1: Hegestraße 22, Eppendorf</t>
        </is>
      </c>
      <c r="C7" s="31" t="n">
        <v>88</v>
      </c>
      <c r="D7" s="32" t="inlineStr">
        <is>
          <t>Eppendorf</t>
        </is>
      </c>
      <c r="E7" s="31" t="n">
        <v>598000</v>
      </c>
      <c r="F7" s="32">
        <f>E7/C7</f>
        <v/>
      </c>
      <c r="G7" s="33" t="inlineStr">
        <is>
          <t>+/- 0 %</t>
        </is>
      </c>
      <c r="H7" s="32">
        <f>F7</f>
        <v/>
      </c>
    </row>
    <row r="8" ht="15" customHeight="1" s="25">
      <c r="B8" s="30" t="inlineStr">
        <is>
          <t>V2: Ludolfstraße 9, Eppendorf</t>
        </is>
      </c>
      <c r="C8" s="31" t="n">
        <v>97.5</v>
      </c>
      <c r="D8" s="32" t="inlineStr">
        <is>
          <t>Eppendorf</t>
        </is>
      </c>
      <c r="E8" s="31" t="n">
        <v>675000</v>
      </c>
      <c r="F8" s="32">
        <f>E8/C8</f>
        <v/>
      </c>
      <c r="G8" s="33" t="inlineStr">
        <is>
          <t>+/- 0 %</t>
        </is>
      </c>
      <c r="H8" s="32">
        <f>F8</f>
        <v/>
      </c>
    </row>
    <row r="9" ht="15" customHeight="1" s="25">
      <c r="B9" s="30" t="inlineStr">
        <is>
          <t>V3: Erikastraße 15, Eppendorf</t>
        </is>
      </c>
      <c r="C9" s="31" t="n">
        <v>91</v>
      </c>
      <c r="D9" s="32" t="inlineStr">
        <is>
          <t>Eppendorf</t>
        </is>
      </c>
      <c r="E9" s="31" t="n">
        <v>636000</v>
      </c>
      <c r="F9" s="32">
        <f>E9/C9</f>
        <v/>
      </c>
      <c r="G9" s="33" t="inlineStr">
        <is>
          <t>+/- 0 %</t>
        </is>
      </c>
      <c r="H9" s="32">
        <f>F9</f>
        <v/>
      </c>
    </row>
    <row r="10" ht="15" customHeight="1" s="25">
      <c r="B10" s="30" t="inlineStr">
        <is>
          <t>V4: Geibelstraße 5, Harvestehude</t>
        </is>
      </c>
      <c r="C10" s="31" t="n">
        <v>102</v>
      </c>
      <c r="D10" s="32" t="inlineStr">
        <is>
          <t>Harvestehude</t>
        </is>
      </c>
      <c r="E10" s="31" t="n">
        <v>740000</v>
      </c>
      <c r="F10" s="32">
        <f>E10/C10</f>
        <v/>
      </c>
      <c r="G10" s="33" t="inlineStr">
        <is>
          <t>+/- 0 %</t>
        </is>
      </c>
      <c r="H10" s="32">
        <f>F10</f>
        <v/>
      </c>
    </row>
    <row r="11" ht="15" customHeight="1" s="25">
      <c r="B11" s="30" t="inlineStr">
        <is>
          <t>V5: Brahmsallee 33, Harvestehude</t>
        </is>
      </c>
      <c r="C11" s="31" t="n">
        <v>83</v>
      </c>
      <c r="D11" s="32" t="inlineStr">
        <is>
          <t>Harvestehude</t>
        </is>
      </c>
      <c r="E11" s="31" t="n">
        <v>568000</v>
      </c>
      <c r="F11" s="32">
        <f>E11/C11</f>
        <v/>
      </c>
      <c r="G11" s="33" t="inlineStr">
        <is>
          <t>+/- 0 %</t>
        </is>
      </c>
      <c r="H11" s="32">
        <f>F11</f>
        <v/>
      </c>
    </row>
    <row r="12" ht="15.75" customHeight="1" s="25">
      <c r="B12" s="34" t="inlineStr">
        <is>
          <t>Mittelwert</t>
        </is>
      </c>
      <c r="C12" s="35" t="n"/>
      <c r="D12" s="34" t="n"/>
      <c r="E12" s="36">
        <f>AVERAGE(E7:E11)</f>
        <v/>
      </c>
      <c r="F12" s="37">
        <f>AVERAGE(F7:F11)</f>
        <v/>
      </c>
      <c r="G12" s="34" t="n"/>
      <c r="H12" s="37">
        <f>AVERAGE(H7:H11)</f>
        <v/>
      </c>
    </row>
    <row r="13"/>
    <row r="14" ht="16.5" customHeight="1" s="25">
      <c r="B14" s="28" t="inlineStr">
        <is>
          <t>B. Wertermittlung Bewertungsobjekt</t>
        </is>
      </c>
    </row>
    <row r="15" ht="19.5" customHeight="1" s="25">
      <c r="B15" s="29" t="inlineStr">
        <is>
          <t>Position</t>
        </is>
      </c>
      <c r="C15" s="29" t="inlineStr">
        <is>
          <t>Wohnfläche (qm)</t>
        </is>
      </c>
      <c r="D15" s="29" t="inlineStr">
        <is>
          <t>EUR/qm</t>
        </is>
      </c>
      <c r="E15" s="29" t="inlineStr">
        <is>
          <t>Rohwert (EUR)</t>
        </is>
      </c>
      <c r="F15" s="29" t="inlineStr">
        <is>
          <t>Korrekturfaktor</t>
        </is>
      </c>
      <c r="G15" s="29" t="inlineStr">
        <is>
          <t>Betrag (EUR)</t>
        </is>
      </c>
      <c r="H15" s="29" t="inlineStr">
        <is>
          <t>Kumuliert (EUR)</t>
        </is>
      </c>
    </row>
    <row r="16" ht="15.75" customHeight="1" s="25">
      <c r="B16" s="30" t="inlineStr">
        <is>
          <t>Rohwert (95,30 qm × Mittelwert EUR/qm)</t>
        </is>
      </c>
      <c r="C16" s="31" t="n">
        <v>95.3</v>
      </c>
      <c r="D16" s="31">
        <f>H12</f>
        <v/>
      </c>
      <c r="E16" s="32">
        <f>C16*D16</f>
        <v/>
      </c>
      <c r="F16" s="38" t="inlineStr">
        <is>
          <t>1,000</t>
        </is>
      </c>
      <c r="G16" s="32">
        <f>E16</f>
        <v/>
      </c>
      <c r="H16" s="32">
        <f>F16</f>
        <v/>
      </c>
    </row>
    <row r="17" ht="15.75" customHeight="1" s="25">
      <c r="B17" s="30" t="inlineStr">
        <is>
          <t>Ausstattungskorrektur (Altbau 1890, kein Lift)</t>
        </is>
      </c>
      <c r="C17" s="30" t="n"/>
      <c r="D17" s="30" t="n"/>
      <c r="E17" s="30" t="n"/>
      <c r="F17" s="38" t="inlineStr">
        <is>
          <t>-0,015</t>
        </is>
      </c>
      <c r="G17" s="32">
        <f>F16*E17</f>
        <v/>
      </c>
      <c r="H17" s="32">
        <f>G16+F17</f>
        <v/>
      </c>
    </row>
    <row r="18" ht="15.75" customHeight="1" s="25">
      <c r="B18" s="30" t="inlineStr">
        <is>
          <t>Balkongröße Hofseite (positiv)</t>
        </is>
      </c>
      <c r="C18" s="30" t="n"/>
      <c r="D18" s="30" t="n"/>
      <c r="E18" s="30" t="n"/>
      <c r="F18" s="38" t="inlineStr">
        <is>
          <t>+0,005</t>
        </is>
      </c>
      <c r="G18" s="32">
        <f>F16*E18</f>
        <v/>
      </c>
      <c r="H18" s="32">
        <f>G17+F18</f>
        <v/>
      </c>
    </row>
    <row r="19" ht="15.75" customHeight="1" s="25">
      <c r="B19" s="34" t="inlineStr">
        <is>
          <t>Bereinigter Vergleichswert</t>
        </is>
      </c>
      <c r="C19" s="34" t="n"/>
      <c r="D19" s="34" t="n"/>
      <c r="E19" s="34" t="n"/>
      <c r="F19" s="34" t="n"/>
      <c r="G19" s="35" t="n"/>
      <c r="H19" s="36">
        <f>G18</f>
        <v/>
      </c>
    </row>
    <row r="20" ht="15" customHeight="1" s="25"/>
    <row r="21" ht="15.75" customHeight="1" s="25">
      <c r="B21" s="30" t="inlineStr">
        <is>
          <t>Abschlag fehlende Innenbesichtigung</t>
        </is>
      </c>
      <c r="C21" s="30" t="n"/>
      <c r="D21" s="30" t="n"/>
      <c r="E21" s="30" t="n"/>
      <c r="F21" s="30" t="n"/>
      <c r="G21" s="32" t="n">
        <v>-25000</v>
      </c>
      <c r="H21" s="32">
        <f>G19+F21</f>
        <v/>
      </c>
    </row>
    <row r="22" ht="15.75" customHeight="1" s="25">
      <c r="B22" s="30" t="inlineStr">
        <is>
          <t>Abschlag Miet-/Nutzungsunklarheit (Atelier Nordbogen)</t>
        </is>
      </c>
      <c r="C22" s="30" t="n"/>
      <c r="D22" s="30" t="n"/>
      <c r="E22" s="30" t="n"/>
      <c r="F22" s="30" t="n"/>
      <c r="G22" s="32" t="n">
        <v>-10000</v>
      </c>
      <c r="H22" s="32">
        <f>G21+F22</f>
        <v/>
      </c>
    </row>
    <row r="23" ht="15.75" customHeight="1" s="25">
      <c r="B23" s="34" t="inlineStr">
        <is>
          <t>Marktbereinigter Wert</t>
        </is>
      </c>
      <c r="C23" s="34" t="n"/>
      <c r="D23" s="34" t="n"/>
      <c r="E23" s="34" t="n"/>
      <c r="F23" s="34" t="n"/>
      <c r="G23" s="35" t="n"/>
      <c r="H23" s="36">
        <f>G22</f>
        <v/>
      </c>
    </row>
    <row r="24" ht="15.75" customHeight="1" s="25">
      <c r="B24" s="39" t="inlineStr">
        <is>
          <t>Rundung auf 5.000 EUR (Marktentscheidung)</t>
        </is>
      </c>
      <c r="C24" s="39" t="n"/>
      <c r="D24" s="39" t="n"/>
      <c r="E24" s="39" t="n"/>
      <c r="F24" s="39" t="n"/>
      <c r="G24" s="40" t="n"/>
      <c r="H24" s="41" t="n">
        <v>685000</v>
      </c>
    </row>
    <row r="25" ht="15" customHeight="1" s="25"/>
    <row r="26" ht="16.5" customHeight="1" s="25">
      <c r="B26" s="28" t="inlineStr">
        <is>
          <t>C. Schutzgrenzen §§ 74a, 85a ZVG</t>
        </is>
      </c>
    </row>
    <row r="27" ht="19.5" customHeight="1" s="25">
      <c r="B27" s="29" t="inlineStr">
        <is>
          <t>Grenze</t>
        </is>
      </c>
      <c r="C27" s="29" t="inlineStr">
        <is>
          <t>Formel</t>
        </is>
      </c>
      <c r="D27" s="29" t="n"/>
      <c r="E27" s="29" t="inlineStr">
        <is>
          <t>Betrag (EUR)</t>
        </is>
      </c>
      <c r="F27" s="29" t="n"/>
      <c r="G27" s="29" t="inlineStr">
        <is>
          <t>Höchstgebot (EUR)</t>
        </is>
      </c>
      <c r="H27" s="29" t="inlineStr">
        <is>
          <t>Unterschreitung?</t>
        </is>
      </c>
    </row>
    <row r="28" ht="15.75" customHeight="1" s="25">
      <c r="B28" s="30" t="inlineStr">
        <is>
          <t>7/10-Grenze (§ 74a ZVG)</t>
        </is>
      </c>
      <c r="C28" s="30" t="inlineStr">
        <is>
          <t>685.000 × 70 %</t>
        </is>
      </c>
      <c r="D28" s="30" t="n"/>
      <c r="E28" s="32" t="n">
        <v>534000</v>
      </c>
      <c r="F28" s="30" t="n"/>
      <c r="G28" s="32" t="n">
        <v>534000</v>
      </c>
      <c r="H28" s="42">
        <f>IF(G28&lt;E28,"JA – Versagung möglich","NEIN")</f>
        <v/>
      </c>
    </row>
    <row r="29" ht="15.75" customHeight="1" s="25">
      <c r="B29" s="30" t="inlineStr">
        <is>
          <t>5/10-Grenze (§ 85a ZVG)</t>
        </is>
      </c>
      <c r="C29" s="30" t="inlineStr">
        <is>
          <t>685.000 × 50 %</t>
        </is>
      </c>
      <c r="D29" s="30" t="n"/>
      <c r="E29" s="32" t="n">
        <v>534000</v>
      </c>
      <c r="F29" s="30" t="n"/>
      <c r="G29" s="32" t="n">
        <v>534000</v>
      </c>
      <c r="H29" s="30">
        <f>IF(G29&lt;E29,"JA – Zwingend zu versagen","NEIN")</f>
        <v/>
      </c>
    </row>
  </sheetData>
  <mergeCells count="4">
    <mergeCell ref="B2:H2"/>
    <mergeCell ref="B14:H14"/>
    <mergeCell ref="B5:H5"/>
    <mergeCell ref="B26:H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" customWidth="1" style="24" min="1" max="1"/>
    <col width="30" customWidth="1" style="24" min="2" max="2"/>
    <col width="14" customWidth="1" style="24" min="3" max="6"/>
  </cols>
  <sheetData>
    <row r="1" ht="6" customHeight="1" s="25"/>
    <row r="2" ht="21.75" customHeight="1" s="25">
      <c r="B2" s="26" t="inlineStr">
        <is>
          <t>Verkehrswertermittlung – Ertragswertverfahren (§§ 17–20 ImmoWertV) – Plausibilisierung</t>
        </is>
      </c>
    </row>
    <row r="3" ht="12.75" customHeight="1" s="25">
      <c r="B3" s="27" t="inlineStr">
        <is>
          <t>Az. 71 K 18/26 · Stichtag: 28.04.2026 · Dient als Plausibilisierung des Vergleichswerts</t>
        </is>
      </c>
    </row>
    <row r="4"/>
    <row r="5" ht="16.5" customHeight="1" s="25">
      <c r="B5" s="28" t="inlineStr">
        <is>
          <t>A. Ertragsverhältnisse</t>
        </is>
      </c>
    </row>
    <row r="6" ht="19.5" customHeight="1" s="25">
      <c r="B6" s="29" t="inlineStr">
        <is>
          <t>Position</t>
        </is>
      </c>
      <c r="C6" s="29" t="inlineStr">
        <is>
          <t>Eingabe</t>
        </is>
      </c>
      <c r="D6" s="29" t="inlineStr">
        <is>
          <t>Berechnung (EUR)</t>
        </is>
      </c>
      <c r="E6" s="29" t="inlineStr">
        <is>
          <t>Ergebnis (EUR)</t>
        </is>
      </c>
      <c r="F6" s="29" t="inlineStr">
        <is>
          <t>Anmerkung</t>
        </is>
      </c>
    </row>
    <row r="7" ht="15" customHeight="1" s="25">
      <c r="B7" s="30" t="inlineStr">
        <is>
          <t>Nettokaltmiete monatlich (aktuell)</t>
        </is>
      </c>
      <c r="C7" s="43" t="n">
        <v>1320</v>
      </c>
      <c r="D7" s="32">
        <f>C7*12</f>
        <v/>
      </c>
      <c r="E7" s="44" t="inlineStr">
        <is>
          <t>§ 17 ImmoWertV</t>
        </is>
      </c>
      <c r="F7" s="45" t="n"/>
    </row>
    <row r="8" ht="15" customHeight="1" s="25">
      <c r="B8" s="30" t="inlineStr">
        <is>
          <t>Jahresrohmiete (JRM)</t>
        </is>
      </c>
      <c r="C8" s="46" t="n"/>
      <c r="D8" s="32">
        <f>D7</f>
        <v/>
      </c>
      <c r="E8" s="44" t="inlineStr">
        <is>
          <t>Basis Ertragswert</t>
        </is>
      </c>
      <c r="F8" s="45" t="n"/>
    </row>
    <row r="9" ht="15" customHeight="1" s="25">
      <c r="B9" s="30" t="inlineStr">
        <is>
          <t>./. Verwaltungskosten (3 % JRM)</t>
        </is>
      </c>
      <c r="C9" s="47" t="n">
        <v>0.03</v>
      </c>
      <c r="D9" s="32">
        <f>D8*C9</f>
        <v/>
      </c>
      <c r="E9" s="44" t="inlineStr">
        <is>
          <t>Pauschalansatz</t>
        </is>
      </c>
      <c r="F9" s="45" t="n"/>
    </row>
    <row r="10" ht="15" customHeight="1" s="25">
      <c r="B10" s="30" t="inlineStr">
        <is>
          <t>./. Instandhaltungskosten (6 % JRM)</t>
        </is>
      </c>
      <c r="C10" s="47" t="n">
        <v>0.06</v>
      </c>
      <c r="D10" s="32">
        <f>D8*C10</f>
        <v/>
      </c>
      <c r="E10" s="44" t="inlineStr">
        <is>
          <t>Altbau-Ansatz</t>
        </is>
      </c>
      <c r="F10" s="45" t="n"/>
    </row>
    <row r="11" ht="15" customHeight="1" s="25">
      <c r="B11" s="30" t="inlineStr">
        <is>
          <t>./. Mietausfallwagnis (3 % JRM)</t>
        </is>
      </c>
      <c r="C11" s="47" t="n">
        <v>0.03</v>
      </c>
      <c r="D11" s="32">
        <f>D8*C11</f>
        <v/>
      </c>
      <c r="E11" s="44" t="inlineStr">
        <is>
          <t>Schätzung</t>
        </is>
      </c>
      <c r="F11" s="45" t="n"/>
    </row>
    <row r="12" ht="15" customHeight="1" s="25">
      <c r="B12" s="30" t="inlineStr">
        <is>
          <t>./. Betriebskosten (nicht umlagefähig, 2 % JRM)</t>
        </is>
      </c>
      <c r="C12" s="47" t="n">
        <v>0.02</v>
      </c>
      <c r="D12" s="32">
        <f>D8*C12</f>
        <v/>
      </c>
      <c r="E12" s="44" t="n"/>
      <c r="F12" s="45" t="n"/>
    </row>
    <row r="13" ht="15" customHeight="1" s="25">
      <c r="B13" s="30" t="inlineStr">
        <is>
          <t>Bewirtschaftungskosten gesamt</t>
        </is>
      </c>
      <c r="C13" s="46" t="n"/>
      <c r="D13" s="32">
        <f>SUM(D9:D12)</f>
        <v/>
      </c>
      <c r="E13" s="44" t="n"/>
      <c r="F13" s="45" t="n"/>
    </row>
    <row r="14" ht="15" customHeight="1" s="25">
      <c r="B14" s="30" t="inlineStr">
        <is>
          <t>Jahresreinertrag</t>
        </is>
      </c>
      <c r="C14" s="46" t="n"/>
      <c r="D14" s="32">
        <f>D8-D13</f>
        <v/>
      </c>
      <c r="E14" s="44" t="n"/>
      <c r="F14" s="45" t="n"/>
    </row>
    <row r="15" ht="15" customHeight="1" s="25">
      <c r="B15" s="30" t="inlineStr">
        <is>
          <t>Liegenschaftszinssatz (Annahme WE Eppendorf 2026)</t>
        </is>
      </c>
      <c r="C15" s="47" t="n">
        <v>0.025</v>
      </c>
      <c r="D15" s="32" t="n"/>
      <c r="E15" s="44" t="inlineStr">
        <is>
          <t>§ 14 ImmoWertV</t>
        </is>
      </c>
      <c r="F15" s="45" t="n"/>
    </row>
    <row r="16" ht="15" customHeight="1" s="25">
      <c r="B16" s="30" t="inlineStr">
        <is>
          <t>Restnutzungsdauer (geschätzt, Baujahr 1890/1994)</t>
        </is>
      </c>
      <c r="C16" s="43" t="n">
        <v>60</v>
      </c>
      <c r="D16" s="32" t="n"/>
      <c r="E16" s="44" t="inlineStr">
        <is>
          <t>Jahre</t>
        </is>
      </c>
      <c r="F16" s="45" t="n"/>
    </row>
    <row r="17" ht="15" customHeight="1" s="25">
      <c r="B17" s="30" t="inlineStr">
        <is>
          <t>Vervielfältiger (Barwertfaktor, LZS 2,5 %, RND 60 J.)</t>
        </is>
      </c>
      <c r="C17" s="46" t="n"/>
      <c r="D17" s="32">
        <f>(1-(1+C16)^(-C17))/C16</f>
        <v/>
      </c>
      <c r="E17" s="44" t="n"/>
      <c r="F17" s="45" t="n"/>
    </row>
    <row r="18" ht="15" customHeight="1" s="25">
      <c r="B18" s="30" t="inlineStr">
        <is>
          <t>Gebäudeertragswert</t>
        </is>
      </c>
      <c r="C18" s="46" t="n"/>
      <c r="D18" s="32">
        <f>D14*D17</f>
        <v/>
      </c>
      <c r="E18" s="44" t="n"/>
      <c r="F18" s="45" t="n"/>
    </row>
    <row r="19" ht="15" customHeight="1" s="25">
      <c r="B19" s="30" t="inlineStr">
        <is>
          <t>Bodenrichtwert (Hamburg-Eppendorf, Schätzung)</t>
        </is>
      </c>
      <c r="C19" s="43" t="n">
        <v>3200</v>
      </c>
      <c r="D19" s="32" t="n"/>
      <c r="E19" s="44" t="inlineStr">
        <is>
          <t>EUR/qm</t>
        </is>
      </c>
      <c r="F19" s="45" t="n"/>
    </row>
    <row r="20" ht="15" customHeight="1" s="25">
      <c r="B20" s="30" t="inlineStr">
        <is>
          <t>Grundstücksfläche anteilig (MEA 39,20/1.000 × 612 qm)</t>
        </is>
      </c>
      <c r="C20" s="46" t="n"/>
      <c r="D20" s="32">
        <f>39.2/1000*612</f>
        <v/>
      </c>
      <c r="E20" s="44" t="inlineStr">
        <is>
          <t>qm</t>
        </is>
      </c>
      <c r="F20" s="45" t="n"/>
    </row>
    <row r="21" ht="15" customHeight="1" s="25">
      <c r="B21" s="30" t="inlineStr">
        <is>
          <t>Bodenwertanteil</t>
        </is>
      </c>
      <c r="C21" s="46" t="n"/>
      <c r="D21" s="32">
        <f>C19*D20</f>
        <v/>
      </c>
      <c r="E21" s="44" t="inlineStr">
        <is>
          <t>EUR</t>
        </is>
      </c>
      <c r="F21" s="45" t="n"/>
    </row>
    <row r="22" ht="15" customHeight="1" s="25">
      <c r="B22" s="30" t="inlineStr">
        <is>
          <t>Vorläufiger Ertragswert</t>
        </is>
      </c>
      <c r="C22" s="46" t="n"/>
      <c r="D22" s="32">
        <f>D18+D21</f>
        <v/>
      </c>
      <c r="E22" s="44" t="n"/>
      <c r="F22" s="45" t="n"/>
    </row>
    <row r="23" ht="15" customHeight="1" s="25">
      <c r="B23" s="39" t="inlineStr">
        <is>
          <t>Gerundeter Ertragswert</t>
        </is>
      </c>
      <c r="C23" s="46" t="n"/>
      <c r="D23" s="41" t="n">
        <v>465000</v>
      </c>
      <c r="E23" s="44" t="n"/>
      <c r="F23" s="45" t="n"/>
    </row>
    <row r="24"/>
    <row r="25"/>
    <row r="26" ht="16.5" customHeight="1" s="25">
      <c r="B26" s="28" t="inlineStr">
        <is>
          <t>B. Ergebnisvergleich</t>
        </is>
      </c>
    </row>
    <row r="27" ht="19.5" customHeight="1" s="25">
      <c r="B27" s="29" t="inlineStr">
        <is>
          <t>Verfahren</t>
        </is>
      </c>
      <c r="C27" s="29" t="inlineStr">
        <is>
          <t>Ergebnis (EUR)</t>
        </is>
      </c>
      <c r="D27" s="29" t="inlineStr">
        <is>
          <t>Gewichtung</t>
        </is>
      </c>
      <c r="E27" s="29" t="inlineStr">
        <is>
          <t>Gewichteter Wert (EUR)</t>
        </is>
      </c>
      <c r="F27" s="29" t="inlineStr">
        <is>
          <t>Anmerkung</t>
        </is>
      </c>
    </row>
    <row r="28" ht="15.75" customHeight="1" s="25">
      <c r="B28" s="30" t="inlineStr">
        <is>
          <t>Vergleichswertverfahren (Hauptmethode)</t>
        </is>
      </c>
      <c r="C28" s="32" t="n">
        <v>685000</v>
      </c>
      <c r="D28" s="47" t="n">
        <v>1</v>
      </c>
      <c r="E28" s="32">
        <f>C28*D28</f>
        <v/>
      </c>
      <c r="F28" s="30" t="inlineStr">
        <is>
          <t>Maßgeblich</t>
        </is>
      </c>
    </row>
    <row r="29" ht="15.75" customHeight="1" s="25">
      <c r="B29" s="30" t="inlineStr">
        <is>
          <t>Ertragswertverfahren (Plausibilisierung)</t>
        </is>
      </c>
      <c r="C29" s="32" t="n">
        <v>465000</v>
      </c>
      <c r="D29" s="47" t="n">
        <v>0</v>
      </c>
      <c r="E29" s="32">
        <f>C29*D29</f>
        <v/>
      </c>
      <c r="F29" s="30" t="inlineStr">
        <is>
          <t>Nur zur Plausibilisierung</t>
        </is>
      </c>
    </row>
    <row r="30" ht="15.75" customHeight="1" s="25">
      <c r="B30" s="39" t="inlineStr">
        <is>
          <t>Verkehrswert (§ 194 BauGB)</t>
        </is>
      </c>
      <c r="C30" s="41" t="n">
        <v>685000</v>
      </c>
      <c r="D30" s="39" t="n"/>
      <c r="E30" s="40" t="n"/>
      <c r="F30" s="39" t="inlineStr">
        <is>
          <t>Festgesetzt 14.05.2026</t>
        </is>
      </c>
    </row>
  </sheetData>
  <mergeCells count="3">
    <mergeCell ref="B2:F2"/>
    <mergeCell ref="B26:F26"/>
    <mergeCell ref="B5:F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2026-05-22T23:44:27Z</dcterms:created>
  <dcterms:modified xmlns:dcterms="http://purl.org/dc/terms/" xmlns:xsi="http://www.w3.org/2001/XMLSchema-instance" xsi:type="dcterms:W3CDTF">2026-07-15T16:01:34Z</dcterms:modified>
  <cp:revision>0</cp:revision>
</cp:coreProperties>
</file>