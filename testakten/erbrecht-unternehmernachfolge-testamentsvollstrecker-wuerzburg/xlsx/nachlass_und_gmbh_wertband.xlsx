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chlass" sheetId="1" state="visible" r:id="rId1"/>
    <sheet xmlns:r="http://schemas.openxmlformats.org/officeDocument/2006/relationships" name="Pflichtteil Szenarien" sheetId="2" state="visible" r:id="rId2"/>
    <sheet xmlns:r="http://schemas.openxmlformats.org/officeDocument/2006/relationships" name="Bank Liquidität" sheetId="3" state="visible" r:id="rId3"/>
  </sheets>
  <definedNames>
    <definedName name="_xlnm._FilterDatabase" localSheetId="0" hidden="1">'Nachlass'!$A$1:$G$7</definedName>
    <definedName name="_xlnm._FilterDatabase" localSheetId="1" hidden="1">'Pflichtteil Szenarien'!$A$1:$F$4</definedName>
    <definedName name="_xlnm._FilterDatabase" localSheetId="2" hidden="1">'Bank Liquidität'!$A$1:$G$5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17324D"/>
      </patternFill>
    </fill>
  </fills>
  <borders count="2">
    <border>
      <left/>
      <right/>
      <top/>
      <bottom/>
      <diagonal/>
    </border>
    <border>
      <bottom style="thin">
        <color rgb="00CFD6DA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8" customWidth="1" min="2" max="2"/>
    <col width="17" customWidth="1" min="3" max="3"/>
    <col width="15" customWidth="1" min="4" max="4"/>
    <col width="41" customWidth="1" min="5" max="5"/>
    <col width="18" customWidth="1" min="6" max="6"/>
    <col width="42" customWidth="1" min="7" max="7"/>
  </cols>
  <sheetData>
    <row r="1" ht="32" customHeight="1">
      <c r="A1" s="1" t="inlineStr">
        <is>
          <t>Position</t>
        </is>
      </c>
      <c r="B1" s="1" t="inlineStr">
        <is>
          <t>Wert niedrig EUR</t>
        </is>
      </c>
      <c r="C1" s="1" t="inlineStr">
        <is>
          <t>Wert mittel EUR</t>
        </is>
      </c>
      <c r="D1" s="1" t="inlineStr">
        <is>
          <t>Wert hoch EUR</t>
        </is>
      </c>
      <c r="E1" s="1" t="inlineStr">
        <is>
          <t>Quelle</t>
        </is>
      </c>
      <c r="F1" s="1" t="inlineStr">
        <is>
          <t>Status</t>
        </is>
      </c>
      <c r="G1" s="1" t="inlineStr">
        <is>
          <t>Offener Punkt</t>
        </is>
      </c>
    </row>
    <row r="2">
      <c r="A2" s="2" t="inlineStr">
        <is>
          <t>GmbH-Anteile 72 Prozent</t>
        </is>
      </c>
      <c r="B2" s="2" t="n">
        <v>9800000</v>
      </c>
      <c r="C2" s="2" t="n">
        <v>12200000</v>
      </c>
      <c r="D2" s="2" t="n">
        <v>14600000</v>
      </c>
      <c r="E2" s="2" t="inlineStr">
        <is>
          <t>Vollstreckerbericht / Gutachterangebote</t>
        </is>
      </c>
      <c r="F2" s="2" t="inlineStr">
        <is>
          <t>Bewertung offen</t>
        </is>
      </c>
      <c r="G2" s="2" t="inlineStr">
        <is>
          <t>Planung, Kundenkonzentration, Investition</t>
        </is>
      </c>
    </row>
    <row r="3">
      <c r="A3" s="2" t="inlineStr">
        <is>
          <t>Wohnhaus Höchberg</t>
        </is>
      </c>
      <c r="B3" s="2" t="n">
        <v>1080000</v>
      </c>
      <c r="C3" s="2" t="n">
        <v>1150000</v>
      </c>
      <c r="D3" s="2" t="n">
        <v>1220000</v>
      </c>
      <c r="E3" s="2" t="inlineStr">
        <is>
          <t>Ortstermin 09.06.2026</t>
        </is>
      </c>
      <c r="F3" s="2" t="inlineStr">
        <is>
          <t>Gutachtenentwurf</t>
        </is>
      </c>
      <c r="G3" s="2" t="inlineStr">
        <is>
          <t>Sanierungsbedarf</t>
        </is>
      </c>
    </row>
    <row r="4">
      <c r="A4" s="2" t="inlineStr">
        <is>
          <t>Depot</t>
        </is>
      </c>
      <c r="B4" s="2" t="n">
        <v>1840000</v>
      </c>
      <c r="C4" s="2" t="n">
        <v>1840000</v>
      </c>
      <c r="D4" s="2" t="n">
        <v>1840000</v>
      </c>
      <c r="E4" s="2" t="inlineStr">
        <is>
          <t>Bankbestätigung</t>
        </is>
      </c>
      <c r="F4" s="2" t="inlineStr">
        <is>
          <t>bestätigt</t>
        </is>
      </c>
      <c r="G4" s="2" t="inlineStr">
        <is>
          <t>Stichtagskurse abgelegt</t>
        </is>
      </c>
    </row>
    <row r="5">
      <c r="A5" s="2" t="inlineStr">
        <is>
          <t>Verrechnungskonto GmbH</t>
        </is>
      </c>
      <c r="B5" s="2" t="n">
        <v>128000</v>
      </c>
      <c r="C5" s="2" t="n">
        <v>218400</v>
      </c>
      <c r="D5" s="2" t="n">
        <v>308400</v>
      </c>
      <c r="E5" s="2" t="inlineStr">
        <is>
          <t>Kontoblätter</t>
        </is>
      </c>
      <c r="F5" s="2" t="inlineStr">
        <is>
          <t>Abstimmung offen</t>
        </is>
      </c>
      <c r="G5" s="2" t="inlineStr">
        <is>
          <t>Reisekosten und Ausschüttung</t>
        </is>
      </c>
    </row>
    <row r="6">
      <c r="A6" s="2" t="inlineStr">
        <is>
          <t>Weitere Aktiva</t>
        </is>
      </c>
      <c r="B6" s="2" t="n">
        <v>310000</v>
      </c>
      <c r="C6" s="2" t="n">
        <v>390000</v>
      </c>
      <c r="D6" s="2" t="n">
        <v>470000</v>
      </c>
      <c r="E6" s="2" t="inlineStr">
        <is>
          <t>Inventar</t>
        </is>
      </c>
      <c r="F6" s="2" t="inlineStr">
        <is>
          <t>teilweise</t>
        </is>
      </c>
      <c r="G6" s="2" t="inlineStr">
        <is>
          <t>Oldtimer und Bank</t>
        </is>
      </c>
    </row>
    <row r="7">
      <c r="A7" s="2" t="inlineStr">
        <is>
          <t>Nachlassverbindlichkeiten</t>
        </is>
      </c>
      <c r="B7" s="2" t="n">
        <v>-540000</v>
      </c>
      <c r="C7" s="2" t="n">
        <v>-486000</v>
      </c>
      <c r="D7" s="2" t="n">
        <v>-430000</v>
      </c>
      <c r="E7" s="2" t="inlineStr">
        <is>
          <t>Steuer und Darlehen</t>
        </is>
      </c>
      <c r="F7" s="2" t="inlineStr">
        <is>
          <t>teilweise</t>
        </is>
      </c>
      <c r="G7" s="2" t="inlineStr">
        <is>
          <t>Bescheide</t>
        </is>
      </c>
    </row>
  </sheetData>
  <autoFilter ref="A1:G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26" customWidth="1" min="4" max="4"/>
    <col width="28" customWidth="1" min="5" max="5"/>
    <col width="19" customWidth="1" min="6" max="6"/>
  </cols>
  <sheetData>
    <row r="1" ht="32" customHeight="1">
      <c r="A1" s="1" t="inlineStr">
        <is>
          <t>Szenario</t>
        </is>
      </c>
      <c r="B1" s="1" t="inlineStr">
        <is>
          <t>Reinnachlass EUR</t>
        </is>
      </c>
      <c r="C1" s="1" t="inlineStr">
        <is>
          <t>Quote Tilo</t>
        </is>
      </c>
      <c r="D1" s="1" t="inlineStr">
        <is>
          <t>Rechnerischer Betrag EUR</t>
        </is>
      </c>
      <c r="E1" s="1" t="inlineStr">
        <is>
          <t>Liquiditätsannahme</t>
        </is>
      </c>
      <c r="F1" s="1" t="inlineStr">
        <is>
          <t>Kein Anerkenntnis</t>
        </is>
      </c>
    </row>
    <row r="2">
      <c r="A2" s="2" t="inlineStr">
        <is>
          <t>niedrig</t>
        </is>
      </c>
      <c r="B2" s="2">
        <f>Nachlass!B2+Nachlass!B3+Nachlass!B4+Nachlass!B5+Nachlass!B6+Nachlass!B7</f>
        <v/>
      </c>
      <c r="C2" s="2" t="n">
        <v>0.25</v>
      </c>
      <c r="D2" s="2">
        <f>B2*C2</f>
        <v/>
      </c>
      <c r="E2" s="2" t="inlineStr">
        <is>
          <t>Stundung 36 Monate offen</t>
        </is>
      </c>
      <c r="F2" s="2" t="inlineStr">
        <is>
          <t>Arbeitswert</t>
        </is>
      </c>
    </row>
    <row r="3">
      <c r="A3" s="2" t="inlineStr">
        <is>
          <t>mittel</t>
        </is>
      </c>
      <c r="B3" s="2">
        <f>Nachlass!C2+Nachlass!C3+Nachlass!C4+Nachlass!C5+Nachlass!C6+Nachlass!C7</f>
        <v/>
      </c>
      <c r="C3" s="2" t="n">
        <v>0.25</v>
      </c>
      <c r="D3" s="2">
        <f>B3*C3</f>
        <v/>
      </c>
      <c r="E3" s="2" t="inlineStr">
        <is>
          <t>Teilzahlung nach Bewertung</t>
        </is>
      </c>
      <c r="F3" s="2" t="inlineStr">
        <is>
          <t>Arbeitswert</t>
        </is>
      </c>
    </row>
    <row r="4">
      <c r="A4" s="2" t="inlineStr">
        <is>
          <t>hoch</t>
        </is>
      </c>
      <c r="B4" s="2">
        <f>Nachlass!D2+Nachlass!D3+Nachlass!D4+Nachlass!D5+Nachlass!D6+Nachlass!D7</f>
        <v/>
      </c>
      <c r="C4" s="2" t="n">
        <v>0.25</v>
      </c>
      <c r="D4" s="2">
        <f>B4*C4</f>
        <v/>
      </c>
      <c r="E4" s="2" t="inlineStr">
        <is>
          <t>externe Finanzierung nötig</t>
        </is>
      </c>
      <c r="F4" s="2" t="inlineStr">
        <is>
          <t>Arbeitswert</t>
        </is>
      </c>
    </row>
  </sheetData>
  <autoFilter ref="A1:F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8" customWidth="1" min="3" max="3"/>
    <col width="18" customWidth="1" min="4" max="4"/>
    <col width="16" customWidth="1" min="5" max="5"/>
    <col width="20" customWidth="1" min="6" max="6"/>
    <col width="20" customWidth="1" min="7" max="7"/>
  </cols>
  <sheetData>
    <row r="1" ht="32" customHeight="1">
      <c r="A1" s="1" t="inlineStr">
        <is>
          <t>Woche</t>
        </is>
      </c>
      <c r="B1" s="1" t="inlineStr">
        <is>
          <t>Anfangsbestand EUR</t>
        </is>
      </c>
      <c r="C1" s="1" t="inlineStr">
        <is>
          <t>Einzahlungen EUR</t>
        </is>
      </c>
      <c r="D1" s="1" t="inlineStr">
        <is>
          <t>Auszahlungen EUR</t>
        </is>
      </c>
      <c r="E1" s="1" t="inlineStr">
        <is>
          <t>Endbestand EUR</t>
        </is>
      </c>
      <c r="F1" s="1" t="inlineStr">
        <is>
          <t>Mindestreserve EUR</t>
        </is>
      </c>
      <c r="G1" s="1" t="inlineStr">
        <is>
          <t>Quelle</t>
        </is>
      </c>
    </row>
    <row r="2">
      <c r="A2" s="2" t="inlineStr">
        <is>
          <t>29.06.-05.07.</t>
        </is>
      </c>
      <c r="B2" s="2" t="n">
        <v>1720000</v>
      </c>
      <c r="C2" s="2" t="n">
        <v>1380000</v>
      </c>
      <c r="D2" s="2" t="n">
        <v>-1210000</v>
      </c>
      <c r="E2" s="2">
        <f>B2+C2+D2</f>
        <v/>
      </c>
      <c r="F2" s="2" t="n">
        <v>1500000</v>
      </c>
      <c r="G2" s="2" t="inlineStr">
        <is>
          <t>Controlling v1.4</t>
        </is>
      </c>
    </row>
    <row r="3">
      <c r="A3" s="2" t="inlineStr">
        <is>
          <t>06.07.-12.07.</t>
        </is>
      </c>
      <c r="B3" s="2">
        <f>E2</f>
        <v/>
      </c>
      <c r="C3" s="2" t="n">
        <v>910000</v>
      </c>
      <c r="D3" s="2" t="n">
        <v>-990000</v>
      </c>
      <c r="E3" s="2">
        <f>B3+C3+D3</f>
        <v/>
      </c>
      <c r="F3" s="2" t="n">
        <v>1500000</v>
      </c>
      <c r="G3" s="2" t="inlineStr">
        <is>
          <t>Auftragseingang</t>
        </is>
      </c>
    </row>
    <row r="4">
      <c r="A4" s="2" t="inlineStr">
        <is>
          <t>13.07.-19.07.</t>
        </is>
      </c>
      <c r="B4" s="2">
        <f>E3</f>
        <v/>
      </c>
      <c r="C4" s="2" t="n">
        <v>740000</v>
      </c>
      <c r="D4" s="2" t="n">
        <v>-1180000</v>
      </c>
      <c r="E4" s="2">
        <f>B4+C4+D4</f>
        <v/>
      </c>
      <c r="F4" s="2" t="n">
        <v>1500000</v>
      </c>
      <c r="G4" s="2" t="inlineStr">
        <is>
          <t>Material und Löhne</t>
        </is>
      </c>
    </row>
    <row r="5">
      <c r="A5" s="2" t="inlineStr">
        <is>
          <t>20.07.-26.07.</t>
        </is>
      </c>
      <c r="B5" s="2">
        <f>E4</f>
        <v/>
      </c>
      <c r="C5" s="2" t="n">
        <v>1620000</v>
      </c>
      <c r="D5" s="2" t="n">
        <v>-1080000</v>
      </c>
      <c r="E5" s="2">
        <f>B5+C5+D5</f>
        <v/>
      </c>
      <c r="F5" s="2" t="n">
        <v>1500000</v>
      </c>
      <c r="G5" s="2" t="inlineStr">
        <is>
          <t>Kundenzahlungen</t>
        </is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Kanzleiakte</dc:creator>
  <dcterms:created xmlns:dcterms="http://purl.org/dc/terms/" xmlns:xsi="http://www.w3.org/2001/XMLSchema-instance" xsi:type="dcterms:W3CDTF">2026-07-15T12:00:00Z</dcterms:created>
  <dcterms:modified xmlns:dcterms="http://purl.org/dc/terms/" xmlns:xsi="http://www.w3.org/2001/XMLSchema-instance" xsi:type="dcterms:W3CDTF">2026-07-15T01:06:18Z</dcterms:modified>
  <cp:lastModifiedBy>Kanzleiakte</cp:lastModifiedBy>
</cp:coreProperties>
</file>