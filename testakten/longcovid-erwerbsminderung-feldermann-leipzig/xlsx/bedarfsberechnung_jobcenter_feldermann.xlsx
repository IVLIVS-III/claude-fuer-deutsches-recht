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edarfsberechnung Vergleich" sheetId="1" state="visible" r:id="rId1"/>
    <sheet xmlns:r="http://schemas.openxmlformats.org/officeDocument/2006/relationships" name="KdU-Angemessenheit Leipzi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&quot; EUR&quot;"/>
    <numFmt numFmtId="165" formatCode="#,##0.00&quot; EUR/m²&quot;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1696F"/>
      <sz val="13"/>
    </font>
    <font>
      <name val="Calibri"/>
      <charset val="1"/>
      <family val="0"/>
      <i val="1"/>
      <color rgb="FF7A7974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sz val="10"/>
    </font>
    <font>
      <name val="Calibri"/>
      <charset val="1"/>
      <family val="0"/>
      <b val="1"/>
      <sz val="10"/>
    </font>
  </fonts>
  <fills count="9">
    <fill>
      <patternFill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7F6F2"/>
        <bgColor rgb="FFF9F8F5"/>
      </patternFill>
    </fill>
    <fill>
      <patternFill patternType="solid">
        <fgColor rgb="FFFFFFFF"/>
        <bgColor rgb="FFF9F8F5"/>
      </patternFill>
    </fill>
    <fill>
      <patternFill patternType="solid">
        <fgColor rgb="FFB2D8DA"/>
        <bgColor rgb="FFD4D1CA"/>
      </patternFill>
    </fill>
    <fill>
      <patternFill patternType="solid">
        <fgColor rgb="FFFDE8EC"/>
        <bgColor rgb="FFF7F6F2"/>
      </patternFill>
    </fill>
    <fill>
      <patternFill patternType="solid">
        <fgColor rgb="FFE8F5E9"/>
        <bgColor rgb="FFF7F6F2"/>
      </patternFill>
    </fill>
    <fill>
      <patternFill patternType="solid">
        <fgColor rgb="FFF9F8F5"/>
        <bgColor rgb="FFF7F6F2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bottom"/>
    </xf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bottom"/>
    </xf>
    <xf numFmtId="0" fontId="7" fillId="2" borderId="1" applyAlignment="1" pivotButton="0" quotePrefix="0" xfId="0">
      <alignment horizontal="left" vertical="center"/>
    </xf>
    <xf numFmtId="164" fontId="7" fillId="2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bottom"/>
    </xf>
    <xf numFmtId="0" fontId="9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bottom"/>
    </xf>
    <xf numFmtId="164" fontId="9" fillId="7" borderId="1" applyAlignment="1" pivotButton="0" quotePrefix="0" xfId="0">
      <alignment horizontal="right" vertical="bottom"/>
    </xf>
    <xf numFmtId="0" fontId="8" fillId="6" borderId="1" applyAlignment="1" pivotButton="0" quotePrefix="0" xfId="0">
      <alignment horizontal="left" vertical="center"/>
    </xf>
    <xf numFmtId="0" fontId="5" fillId="8" borderId="0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left" vertical="bottom" wrapText="1"/>
    </xf>
    <xf numFmtId="165" fontId="8" fillId="6" borderId="1" applyAlignment="1" pivotButton="0" quotePrefix="0" xfId="0">
      <alignment horizontal="right" vertical="bottom" wrapText="1"/>
    </xf>
    <xf numFmtId="164" fontId="8" fillId="6" borderId="1" applyAlignment="1" pivotButton="0" quotePrefix="0" xfId="0">
      <alignment horizontal="right" vertical="bottom" wrapText="1"/>
    </xf>
    <xf numFmtId="0" fontId="8" fillId="4" borderId="1" applyAlignment="1" pivotButton="0" quotePrefix="0" xfId="0">
      <alignment horizontal="left" vertical="bottom" wrapText="1"/>
    </xf>
    <xf numFmtId="165" fontId="8" fillId="4" borderId="1" applyAlignment="1" pivotButton="0" quotePrefix="0" xfId="0">
      <alignment horizontal="right" vertical="bottom" wrapText="1"/>
    </xf>
    <xf numFmtId="164" fontId="8" fillId="4" borderId="1" applyAlignment="1" pivotButton="0" quotePrefix="0" xfId="0">
      <alignment horizontal="right" vertical="bottom" wrapText="1"/>
    </xf>
    <xf numFmtId="0" fontId="8" fillId="3" borderId="1" applyAlignment="1" pivotButton="0" quotePrefix="0" xfId="0">
      <alignment horizontal="left" vertical="bottom" wrapText="1"/>
    </xf>
    <xf numFmtId="165" fontId="8" fillId="3" borderId="1" applyAlignment="1" pivotButton="0" quotePrefix="0" xfId="0">
      <alignment horizontal="right" vertical="bottom" wrapText="1"/>
    </xf>
    <xf numFmtId="164" fontId="8" fillId="3" borderId="1" applyAlignment="1" pivotButton="0" quotePrefix="0" xfId="0">
      <alignment horizontal="right" vertical="bottom" wrapText="1"/>
    </xf>
    <xf numFmtId="0" fontId="8" fillId="7" borderId="1" applyAlignment="1" pivotButton="0" quotePrefix="0" xfId="0">
      <alignment horizontal="left" vertical="bottom" wrapText="1"/>
    </xf>
    <xf numFmtId="165" fontId="8" fillId="7" borderId="1" applyAlignment="1" pivotButton="0" quotePrefix="0" xfId="0">
      <alignment horizontal="right" vertical="bottom" wrapText="1"/>
    </xf>
    <xf numFmtId="164" fontId="8" fillId="7" borderId="1" applyAlignment="1" pivotButton="0" quotePrefix="0" xfId="0">
      <alignment horizontal="right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bottom"/>
    </xf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bottom"/>
    </xf>
    <xf numFmtId="0" fontId="7" fillId="2" borderId="1" applyAlignment="1" pivotButton="0" quotePrefix="0" xfId="0">
      <alignment horizontal="left" vertical="center"/>
    </xf>
    <xf numFmtId="164" fontId="7" fillId="2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bottom"/>
    </xf>
    <xf numFmtId="0" fontId="9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bottom"/>
    </xf>
    <xf numFmtId="164" fontId="9" fillId="7" borderId="1" applyAlignment="1" pivotButton="0" quotePrefix="0" xfId="0">
      <alignment horizontal="right" vertical="bottom"/>
    </xf>
    <xf numFmtId="0" fontId="8" fillId="6" borderId="1" applyAlignment="1" pivotButton="0" quotePrefix="0" xfId="0">
      <alignment horizontal="left" vertical="center"/>
    </xf>
    <xf numFmtId="0" fontId="5" fillId="8" borderId="0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left" vertical="bottom" wrapText="1"/>
    </xf>
    <xf numFmtId="165" fontId="8" fillId="6" borderId="1" applyAlignment="1" pivotButton="0" quotePrefix="0" xfId="0">
      <alignment horizontal="right" vertical="bottom" wrapText="1"/>
    </xf>
    <xf numFmtId="164" fontId="8" fillId="6" borderId="1" applyAlignment="1" pivotButton="0" quotePrefix="0" xfId="0">
      <alignment horizontal="right" vertical="bottom" wrapText="1"/>
    </xf>
    <xf numFmtId="0" fontId="8" fillId="4" borderId="1" applyAlignment="1" pivotButton="0" quotePrefix="0" xfId="0">
      <alignment horizontal="left" vertical="bottom" wrapText="1"/>
    </xf>
    <xf numFmtId="165" fontId="8" fillId="4" borderId="1" applyAlignment="1" pivotButton="0" quotePrefix="0" xfId="0">
      <alignment horizontal="right" vertical="bottom" wrapText="1"/>
    </xf>
    <xf numFmtId="164" fontId="8" fillId="4" borderId="1" applyAlignment="1" pivotButton="0" quotePrefix="0" xfId="0">
      <alignment horizontal="right" vertical="bottom" wrapText="1"/>
    </xf>
    <xf numFmtId="0" fontId="8" fillId="3" borderId="1" applyAlignment="1" pivotButton="0" quotePrefix="0" xfId="0">
      <alignment horizontal="left" vertical="bottom" wrapText="1"/>
    </xf>
    <xf numFmtId="165" fontId="8" fillId="3" borderId="1" applyAlignment="1" pivotButton="0" quotePrefix="0" xfId="0">
      <alignment horizontal="right" vertical="bottom" wrapText="1"/>
    </xf>
    <xf numFmtId="164" fontId="8" fillId="3" borderId="1" applyAlignment="1" pivotButton="0" quotePrefix="0" xfId="0">
      <alignment horizontal="right" vertical="bottom" wrapText="1"/>
    </xf>
    <xf numFmtId="0" fontId="8" fillId="7" borderId="1" applyAlignment="1" pivotButton="0" quotePrefix="0" xfId="0">
      <alignment horizontal="left" vertical="bottom" wrapText="1"/>
    </xf>
    <xf numFmtId="165" fontId="8" fillId="7" borderId="1" applyAlignment="1" pivotButton="0" quotePrefix="0" xfId="0">
      <alignment horizontal="right" vertical="bottom" wrapText="1"/>
    </xf>
    <xf numFmtId="164" fontId="8" fillId="7" borderId="1" applyAlignment="1" pivotButton="0" quotePrefix="0" xfId="0">
      <alignment horizontal="righ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993366"/>
      <rgbColor rgb="FFF9F8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6F2"/>
      <rgbColor rgb="FFCCFFCC"/>
      <rgbColor rgb="FFFDE8EC"/>
      <rgbColor rgb="FFB2D8D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35" min="1" max="1"/>
    <col width="28" customWidth="1" style="35" min="2" max="2"/>
    <col width="32" customWidth="1" style="35" min="3" max="3"/>
    <col width="20" customWidth="1" style="35" min="4" max="5"/>
    <col width="16" customWidth="1" style="35" min="6" max="6"/>
    <col width="36" customWidth="1" style="35" min="7" max="7"/>
  </cols>
  <sheetData>
    <row r="1"/>
    <row r="2" ht="15.75" customHeight="1" s="36">
      <c r="B2" s="37" t="inlineStr">
        <is>
          <t>Bedarfs- und Einkommensberechnung SGB II – Bedarfsgemeinschaft Feldermann</t>
        </is>
      </c>
    </row>
    <row r="3" ht="15" customHeight="1" s="36">
      <c r="B3" s="38" t="inlineStr">
        <is>
          <t>Stand: Februar 2026 | Kanzlei Sonnemann Sozialrecht Leipzig | Az. BG-L-2025-88-44123</t>
        </is>
      </c>
    </row>
    <row r="4" ht="7.5" customHeight="1" s="36"/>
    <row r="5" ht="15" customHeight="1" s="36">
      <c r="B5" s="39" t="inlineStr">
        <is>
          <t>A) BEDARF DER BEDARFSGEMEINSCHAFT (Paragrafen 20, 21, 22 SGB II)</t>
        </is>
      </c>
    </row>
    <row r="6" ht="30" customHeight="1" s="36">
      <c r="B6" s="40" t="inlineStr">
        <is>
          <t>Position</t>
        </is>
      </c>
      <c r="C6" s="40" t="inlineStr">
        <is>
          <t>Person / Grundlage</t>
        </is>
      </c>
      <c r="D6" s="40" t="inlineStr">
        <is>
          <t>Jobcenter-Ansatz (EUR/Mon.)</t>
        </is>
      </c>
      <c r="E6" s="40" t="inlineStr">
        <is>
          <t>Kanzlei-Ansatz (EUR/Mon.)</t>
        </is>
      </c>
      <c r="F6" s="40" t="inlineStr">
        <is>
          <t>Diff. (EUR)</t>
        </is>
      </c>
      <c r="G6" s="40" t="inlineStr">
        <is>
          <t>Anmerkung</t>
        </is>
      </c>
    </row>
    <row r="7" ht="15" customHeight="1" s="36">
      <c r="B7" s="41" t="inlineStr">
        <is>
          <t>Regelbedarf Frau Feldermann</t>
        </is>
      </c>
      <c r="C7" s="41" t="inlineStr">
        <is>
          <t>SB 1 (Paragraf 20 Abs. 2 Nr. 1 SGB II, 2026)</t>
        </is>
      </c>
      <c r="D7" s="42" t="n">
        <v>563</v>
      </c>
      <c r="E7" s="42" t="n">
        <v>563</v>
      </c>
      <c r="F7" s="43">
        <f>E7-D7</f>
        <v/>
      </c>
      <c r="G7" s="41" t="n"/>
    </row>
    <row r="8" ht="15" customHeight="1" s="36">
      <c r="B8" s="44" t="inlineStr">
        <is>
          <t>Regelbedarf Herr Feldermann</t>
        </is>
      </c>
      <c r="C8" s="44" t="inlineStr">
        <is>
          <t>SB 2 (Paragraf 20 Abs. 2 Nr. 1 SGB II, 2026)</t>
        </is>
      </c>
      <c r="D8" s="45" t="n">
        <v>563</v>
      </c>
      <c r="E8" s="45" t="n">
        <v>563</v>
      </c>
      <c r="F8" s="46">
        <f>E8-D8</f>
        <v/>
      </c>
      <c r="G8" s="44" t="n"/>
    </row>
    <row r="9" ht="15" customHeight="1" s="36">
      <c r="B9" s="41" t="inlineStr">
        <is>
          <t>Regelbedarf Liam (11 J.)</t>
        </is>
      </c>
      <c r="C9" s="41" t="inlineStr">
        <is>
          <t>SB 4 (Paragraf 23 Nr. 1 SGB II, 6.–13. LJ: 390 EUR)</t>
        </is>
      </c>
      <c r="D9" s="42" t="n">
        <v>348</v>
      </c>
      <c r="E9" s="42" t="n">
        <v>390</v>
      </c>
      <c r="F9" s="43">
        <f>E9-D9</f>
        <v/>
      </c>
      <c r="G9" s="41" t="inlineStr">
        <is>
          <t>JC hat falschen Regelbedarf angesetzt</t>
        </is>
      </c>
    </row>
    <row r="10" ht="15" customHeight="1" s="36">
      <c r="B10" s="44" t="inlineStr">
        <is>
          <t>Regelbedarf Marlene (8 J.)</t>
        </is>
      </c>
      <c r="C10" s="44" t="inlineStr">
        <is>
          <t>SB 5 (Paragraf 23 Nr. 2 SGB II, 14.–17. LJ: 390)</t>
        </is>
      </c>
      <c r="D10" s="45" t="n">
        <v>390</v>
      </c>
      <c r="E10" s="45" t="n">
        <v>390</v>
      </c>
      <c r="F10" s="46">
        <f>E10-D10</f>
        <v/>
      </c>
      <c r="G10" s="44" t="n"/>
    </row>
    <row r="11" ht="15" customHeight="1" s="36">
      <c r="B11" s="41" t="inlineStr">
        <is>
          <t>Mehrbedarf Paragraf 21 Abs. 4 SGB II</t>
        </is>
      </c>
      <c r="C11" s="41" t="inlineStr">
        <is>
          <t>Krankheitsbedingte Mehraufwend. (ME/CFS)</t>
        </is>
      </c>
      <c r="D11" s="42" t="n">
        <v>0</v>
      </c>
      <c r="E11" s="42" t="n">
        <v>80</v>
      </c>
      <c r="F11" s="43">
        <f>E11-D11</f>
        <v/>
      </c>
      <c r="G11" s="41" t="inlineStr">
        <is>
          <t>JC abgelehnt, streitig</t>
        </is>
      </c>
    </row>
    <row r="12" ht="15" customHeight="1" s="36">
      <c r="B12" s="44" t="inlineStr">
        <is>
          <t>KdU – Kaltmiete (Paragraf 22 SGB II)</t>
        </is>
      </c>
      <c r="C12" s="44" t="inlineStr">
        <is>
          <t>Bornaische Str. 78, 80 m², Connewitz</t>
        </is>
      </c>
      <c r="D12" s="45" t="n">
        <v>780</v>
      </c>
      <c r="E12" s="45" t="n">
        <v>960</v>
      </c>
      <c r="F12" s="46">
        <f>E12-D12</f>
        <v/>
      </c>
      <c r="G12" s="44" t="inlineStr">
        <is>
          <t>JC-Richtlinie vs. Mietpreisspiegel 2024</t>
        </is>
      </c>
    </row>
    <row r="13" ht="15" customHeight="1" s="36">
      <c r="B13" s="41" t="inlineStr">
        <is>
          <t>Heizkosten (Paragraf 22 Abs. 1 SGB II)</t>
        </is>
      </c>
      <c r="C13" s="41" t="inlineStr">
        <is>
          <t>tatsächlich</t>
        </is>
      </c>
      <c r="D13" s="42" t="n">
        <v>185</v>
      </c>
      <c r="E13" s="42" t="n">
        <v>185</v>
      </c>
      <c r="F13" s="43">
        <f>E13-D13</f>
        <v/>
      </c>
      <c r="G13" s="41" t="n"/>
    </row>
    <row r="14" ht="15" customHeight="1" s="36">
      <c r="B14" s="47" t="inlineStr">
        <is>
          <t>GESAMTBEDARF</t>
        </is>
      </c>
      <c r="C14" s="47" t="n"/>
      <c r="D14" s="48">
        <f>SUM(D7:D13)</f>
        <v/>
      </c>
      <c r="E14" s="48">
        <f>SUM(E7:E13)</f>
        <v/>
      </c>
      <c r="F14" s="48">
        <f>E14-D14</f>
        <v/>
      </c>
      <c r="G14" s="48" t="n"/>
    </row>
    <row r="15" ht="12" customHeight="1" s="36"/>
    <row r="16" ht="15" customHeight="1" s="36">
      <c r="B16" s="39" t="inlineStr">
        <is>
          <t>B) EINKOMMENSANRECHNUNG (Paragrafen 11, 11a, 11b SGB II) – Marko Feldermann</t>
        </is>
      </c>
    </row>
    <row r="17" ht="30" customHeight="1" s="36">
      <c r="B17" s="40" t="inlineStr">
        <is>
          <t>Position</t>
        </is>
      </c>
      <c r="C17" s="40" t="inlineStr">
        <is>
          <t>Grundlage</t>
        </is>
      </c>
      <c r="D17" s="40" t="inlineStr">
        <is>
          <t>Jobcenter-Ansatz (EUR)</t>
        </is>
      </c>
      <c r="E17" s="40" t="inlineStr">
        <is>
          <t>Kanzlei-Ansatz (EUR)</t>
        </is>
      </c>
      <c r="F17" s="40" t="inlineStr">
        <is>
          <t>Diff. (EUR)</t>
        </is>
      </c>
      <c r="G17" s="40" t="inlineStr">
        <is>
          <t>Anmerkung</t>
        </is>
      </c>
    </row>
    <row r="18" ht="15" customHeight="1" s="36">
      <c r="B18" s="41" t="inlineStr">
        <is>
          <t>Bruttoeinkommen</t>
        </is>
      </c>
      <c r="C18" s="41" t="inlineStr">
        <is>
          <t>Lohnabrechnung 12/2025</t>
        </is>
      </c>
      <c r="D18" s="42" t="n">
        <v>4310</v>
      </c>
      <c r="E18" s="42" t="n">
        <v>4310</v>
      </c>
      <c r="F18" s="43">
        <f>E18-D18</f>
        <v/>
      </c>
      <c r="G18" s="41" t="n"/>
    </row>
    <row r="19" ht="15" customHeight="1" s="36">
      <c r="B19" s="44" t="inlineStr">
        <is>
          <t>./. Lohnsteuer</t>
        </is>
      </c>
      <c r="C19" s="44" t="inlineStr">
        <is>
          <t>tatsächlich (Lohnabr.)</t>
        </is>
      </c>
      <c r="D19" s="45" t="n">
        <v>-919.5</v>
      </c>
      <c r="E19" s="45" t="n">
        <v>-608</v>
      </c>
      <c r="F19" s="46">
        <f>E19-D19</f>
        <v/>
      </c>
      <c r="G19" s="44" t="inlineStr">
        <is>
          <t>JC hat pauschal berechnet</t>
        </is>
      </c>
    </row>
    <row r="20" ht="15" customHeight="1" s="36">
      <c r="B20" s="41" t="inlineStr">
        <is>
          <t>./. SV-Beiträge</t>
        </is>
      </c>
      <c r="C20" s="41" t="inlineStr">
        <is>
          <t>AN-Anteil KV+RV+AV+PV</t>
        </is>
      </c>
      <c r="D20" s="42" t="n">
        <v>0</v>
      </c>
      <c r="E20" s="42" t="n">
        <v>-819</v>
      </c>
      <c r="F20" s="43">
        <f>E20-D20</f>
        <v/>
      </c>
      <c r="G20" s="41" t="inlineStr">
        <is>
          <t>In JC-Berechnung nicht separat</t>
        </is>
      </c>
    </row>
    <row r="21" ht="15" customHeight="1" s="36">
      <c r="B21" s="49" t="inlineStr">
        <is>
          <t>Netto nach Steuern/SV</t>
        </is>
      </c>
      <c r="C21" s="50" t="n"/>
      <c r="D21" s="51" t="n">
        <v>3390.5</v>
      </c>
      <c r="E21" s="51" t="n">
        <v>2883</v>
      </c>
      <c r="F21" s="52">
        <f>E21-D21</f>
        <v/>
      </c>
      <c r="G21" s="50" t="n"/>
    </row>
    <row r="22" ht="15" customHeight="1" s="36">
      <c r="B22" s="41" t="inlineStr">
        <is>
          <t>./. Erwerbstätigenpauschale</t>
        </is>
      </c>
      <c r="C22" s="41" t="inlineStr">
        <is>
          <t>Paragraf 11b Abs. 2 SGB II</t>
        </is>
      </c>
      <c r="D22" s="42" t="n">
        <v>-100</v>
      </c>
      <c r="E22" s="42" t="n">
        <v>-100</v>
      </c>
      <c r="F22" s="43">
        <f>E22-D22</f>
        <v/>
      </c>
      <c r="G22" s="41" t="n"/>
    </row>
    <row r="23" ht="15" customHeight="1" s="36">
      <c r="B23" s="44" t="inlineStr">
        <is>
          <t>./. Fahrtkosten Arbeitsweg</t>
        </is>
      </c>
      <c r="C23" s="44" t="inlineStr">
        <is>
          <t>70 km/Tag × 0,20 EUR × 20 AT</t>
        </is>
      </c>
      <c r="D23" s="45" t="n">
        <v>-30</v>
      </c>
      <c r="E23" s="45" t="n">
        <v>-280</v>
      </c>
      <c r="F23" s="46">
        <f>E23-D23</f>
        <v/>
      </c>
      <c r="G23" s="44" t="inlineStr">
        <is>
          <t>JC nur Pauschale 30 EUR</t>
        </is>
      </c>
    </row>
    <row r="24" ht="15" customHeight="1" s="36">
      <c r="B24" s="41" t="inlineStr">
        <is>
          <t>./. Kinderbetreuungskosten</t>
        </is>
      </c>
      <c r="C24" s="41" t="inlineStr">
        <is>
          <t>Hort Marlene, Eigenanteil</t>
        </is>
      </c>
      <c r="D24" s="42" t="n">
        <v>0</v>
      </c>
      <c r="E24" s="42" t="n">
        <v>-100</v>
      </c>
      <c r="F24" s="43">
        <f>E24-D24</f>
        <v/>
      </c>
      <c r="G24" s="41" t="inlineStr">
        <is>
          <t>JC nicht berücksichtigt</t>
        </is>
      </c>
    </row>
    <row r="25" ht="15" customHeight="1" s="36">
      <c r="B25" s="44" t="inlineStr">
        <is>
          <t>./. Krankheitskosten</t>
        </is>
      </c>
      <c r="C25" s="44" t="inlineStr">
        <is>
          <t>Apotheke, Zuzahlungen</t>
        </is>
      </c>
      <c r="D25" s="45" t="n">
        <v>0</v>
      </c>
      <c r="E25" s="45" t="n">
        <v>0</v>
      </c>
      <c r="F25" s="46">
        <f>E25-D25</f>
        <v/>
      </c>
      <c r="G25" s="44" t="inlineStr">
        <is>
          <t>Wird separat geprüft</t>
        </is>
      </c>
    </row>
    <row r="26" ht="15" customHeight="1" s="36">
      <c r="B26" s="49" t="inlineStr">
        <is>
          <t>Anrechenbares Netto</t>
        </is>
      </c>
      <c r="C26" s="50" t="inlineStr">
        <is>
          <t>Paragraf 11 Abs. 1 SGB II</t>
        </is>
      </c>
      <c r="D26" s="51" t="n">
        <v>3260.5</v>
      </c>
      <c r="E26" s="51" t="n">
        <v>2403</v>
      </c>
      <c r="F26" s="52">
        <f>E26-D26</f>
        <v/>
      </c>
      <c r="G26" s="50" t="inlineStr">
        <is>
          <t>Differenz: 857,50 EUR</t>
        </is>
      </c>
    </row>
    <row r="27"/>
    <row r="28" ht="12" customHeight="1" s="36"/>
    <row r="29" ht="15" customHeight="1" s="36">
      <c r="B29" s="39" t="inlineStr">
        <is>
          <t>C) ERGEBNIS: UNGEDECKTER BEDARF / ANSPRUCH SGB II</t>
        </is>
      </c>
    </row>
    <row r="30" ht="15" customHeight="1" s="36">
      <c r="B30" s="41" t="inlineStr">
        <is>
          <t>Gesamtbedarf</t>
        </is>
      </c>
      <c r="C30" s="44" t="inlineStr">
        <is>
          <t>JC-Berechnung</t>
        </is>
      </c>
      <c r="D30" s="43">
        <f>D14</f>
        <v/>
      </c>
      <c r="E30" s="43">
        <f>E14</f>
        <v/>
      </c>
      <c r="F30" s="43">
        <f>E30-D30</f>
        <v/>
      </c>
      <c r="G30" s="41" t="n"/>
    </row>
    <row r="31" ht="15" customHeight="1" s="36">
      <c r="B31" s="44" t="inlineStr">
        <is>
          <t>./. Anrechenbares Einkommen</t>
        </is>
      </c>
      <c r="C31" s="44" t="n"/>
      <c r="D31" s="46">
        <f>D26</f>
        <v/>
      </c>
      <c r="E31" s="46">
        <f>E26</f>
        <v/>
      </c>
      <c r="F31" s="46">
        <f>E31-D31</f>
        <v/>
      </c>
      <c r="G31" s="44" t="n"/>
    </row>
    <row r="32" ht="15" customHeight="1" s="36">
      <c r="B32" s="53" t="inlineStr">
        <is>
          <t>Ungedeckter Bedarf (SGB-II-Anspruch)</t>
        </is>
      </c>
      <c r="C32" s="44" t="n"/>
      <c r="D32" s="54">
        <f>D30-D31</f>
        <v/>
      </c>
      <c r="E32" s="55">
        <f>E30-E31</f>
        <v/>
      </c>
      <c r="F32" s="54">
        <f>E32-D32</f>
        <v/>
      </c>
      <c r="G32" s="56" t="inlineStr">
        <is>
          <t>JC: kein Anspruch</t>
        </is>
      </c>
    </row>
    <row r="33" ht="39.75" customHeight="1" s="36">
      <c r="B33" s="57" t="inlineStr">
        <is>
          <t>Hinweis: JC-Ansatz = Berechnung Jobcenter Leipzig laut Bescheid 14.11.2025. Kanzlei-Ansatz = korrigierte Berechnung RA Sonnemann (tatsächliche Absetzbeträge gem. Paragraf 11b SGB II). Differenz zeigt nachweisbaren SGB-II-Anspruch von ca. 426 EUR/Mon. + KdU-Differenz 180 EUR = ca. 606 EUR/Mon.</t>
        </is>
      </c>
    </row>
    <row r="34" ht="15" customHeight="1" s="36"/>
  </sheetData>
  <mergeCells count="6">
    <mergeCell ref="B3:G3"/>
    <mergeCell ref="B2:G2"/>
    <mergeCell ref="B16:G16"/>
    <mergeCell ref="B5:G5"/>
    <mergeCell ref="B29:G29"/>
    <mergeCell ref="B33:G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35" min="1" max="1"/>
    <col width="40" customWidth="1" style="35" min="2" max="2"/>
    <col width="22" customWidth="1" style="35" min="3" max="4"/>
    <col width="32" customWidth="1" style="35" min="5" max="5"/>
    <col width="24" customWidth="1" style="35" min="6" max="6"/>
  </cols>
  <sheetData>
    <row r="1"/>
    <row r="2" ht="15.75" customHeight="1" s="36">
      <c r="B2" s="37" t="inlineStr">
        <is>
          <t>KdU-Angemessenheitsvergleich Leipzig 2024–2026 (4-Personen-Haushalt)</t>
        </is>
      </c>
    </row>
    <row r="3" ht="15" customHeight="1" s="36">
      <c r="B3" s="38" t="inlineStr">
        <is>
          <t>Quelle: Mietpreisspiegel Leipzig 2024 | JC-Richtlinie 2023 | Wohngeldgesetz-Anlage 2024</t>
        </is>
      </c>
    </row>
    <row r="4" ht="7.5" customHeight="1" s="36"/>
    <row r="5" ht="30" customHeight="1" s="36">
      <c r="B5" s="40" t="inlineStr">
        <is>
          <t>Datenquelle</t>
        </is>
      </c>
      <c r="C5" s="40" t="inlineStr">
        <is>
          <t>EUR/m² (Kaltmiete)</t>
        </is>
      </c>
      <c r="D5" s="40" t="inlineStr">
        <is>
          <t>Ansatz 80 m² (EUR)</t>
        </is>
      </c>
      <c r="E5" s="40" t="inlineStr">
        <is>
          <t>Basis</t>
        </is>
      </c>
      <c r="F5" s="40" t="inlineStr">
        <is>
          <t>Einordnung</t>
        </is>
      </c>
    </row>
    <row r="6" ht="15" customHeight="1" s="36">
      <c r="B6" s="58" t="inlineStr">
        <is>
          <t>Jobcenter-Richtlinie 2023</t>
        </is>
      </c>
      <c r="C6" s="59" t="n">
        <v>9.75</v>
      </c>
      <c r="D6" s="60" t="n">
        <v>780</v>
      </c>
      <c r="E6" s="58" t="inlineStr">
        <is>
          <t>Pauschal, ohne schlüssiges Konzept</t>
        </is>
      </c>
      <c r="F6" s="58" t="inlineStr">
        <is>
          <t>Zu niedrig (BSG-Rspr.)</t>
        </is>
      </c>
    </row>
    <row r="7" ht="23.25" customHeight="1" s="36">
      <c r="B7" s="61" t="inlineStr">
        <is>
          <t>Mietpreisspiegel Leipzig 2024 (Connewitz, untere Schwelle)</t>
        </is>
      </c>
      <c r="C7" s="62" t="n">
        <v>10.8</v>
      </c>
      <c r="D7" s="63" t="n">
        <v>864</v>
      </c>
      <c r="E7" s="61" t="inlineStr">
        <is>
          <t>Amtlicher Mietspiegel</t>
        </is>
      </c>
      <c r="F7" s="61" t="inlineStr">
        <is>
          <t>Mindestmarkt</t>
        </is>
      </c>
    </row>
    <row r="8" ht="15" customHeight="1" s="36">
      <c r="B8" s="64" t="inlineStr">
        <is>
          <t>Mietpreisspiegel Leipzig 2024 (Connewitz, Median)</t>
        </is>
      </c>
      <c r="C8" s="65" t="n">
        <v>12</v>
      </c>
      <c r="D8" s="66" t="n">
        <v>960</v>
      </c>
      <c r="E8" s="64" t="inlineStr">
        <is>
          <t>Amtlicher Mietspiegel</t>
        </is>
      </c>
      <c r="F8" s="64" t="inlineStr">
        <is>
          <t>Tatsächliche Miete</t>
        </is>
      </c>
    </row>
    <row r="9" ht="23.25" customHeight="1" s="36">
      <c r="B9" s="61" t="inlineStr">
        <is>
          <t>Mietpreisspiegel Leipzig 2024 (Connewitz, obere Schwelle)</t>
        </is>
      </c>
      <c r="C9" s="62" t="n">
        <v>14.2</v>
      </c>
      <c r="D9" s="63" t="n">
        <v>1136</v>
      </c>
      <c r="E9" s="61" t="inlineStr">
        <is>
          <t>Amtlicher Mietspiegel</t>
        </is>
      </c>
      <c r="F9" s="61" t="inlineStr">
        <is>
          <t>Oberes Segment</t>
        </is>
      </c>
    </row>
    <row r="10" ht="15" customHeight="1" s="36">
      <c r="B10" s="64" t="inlineStr">
        <is>
          <t>Wohngeldtabelle 2024, Stufe IV Leipzig (4 Pers.)</t>
        </is>
      </c>
      <c r="C10" s="65" t="n">
        <v>11.5</v>
      </c>
      <c r="D10" s="66" t="n">
        <v>920</v>
      </c>
      <c r="E10" s="64" t="inlineStr">
        <is>
          <t>Paragraf 12 WoGG</t>
        </is>
      </c>
      <c r="F10" s="64" t="inlineStr">
        <is>
          <t>Vergleichswert</t>
        </is>
      </c>
    </row>
    <row r="11" ht="15" customHeight="1" s="36">
      <c r="B11" s="67" t="inlineStr">
        <is>
          <t>Vermieter-Angebot (tatsächliche Kaltmiete)</t>
        </is>
      </c>
      <c r="C11" s="68" t="n">
        <v>12</v>
      </c>
      <c r="D11" s="69" t="n">
        <v>960</v>
      </c>
      <c r="E11" s="67" t="inlineStr">
        <is>
          <t>Mietvertrag</t>
        </is>
      </c>
      <c r="F11" s="67" t="inlineStr">
        <is>
          <t>Marktkonform</t>
        </is>
      </c>
    </row>
    <row r="12"/>
    <row r="13" ht="49.5" customHeight="1" s="36">
      <c r="B13" s="57" t="inlineStr">
        <is>
          <t>Fazit: Die tatsächliche Kaltmiete (960 EUR = 12,00 EUR/m²) liegt im Bereich des Medians des Mietpreisspiegels Leipzig 2024 für Connewitz und ist damit marktkonform und angemessen im Sinne des Paragrafen 22 Abs. 1 SGB II. Die Jobcenter-Richtlinie (780 EUR) liegt unter der unteren Mietpreisspiegel-Schwelle und erfüllt nicht die Anforderungen des BSG an ein 'schlüssiges Konzept' (BSG, Urt. v. 22.09.2009 – B 4 AS 18/09 R).</t>
        </is>
      </c>
    </row>
    <row r="14" ht="15" customHeight="1" s="36"/>
  </sheetData>
  <mergeCells count="3">
    <mergeCell ref="B2:F2"/>
    <mergeCell ref="B13:F14"/>
    <mergeCell ref="B3:F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2026-05-30T15:21:07Z</dcterms:created>
  <dcterms:modified xmlns:dcterms="http://purl.org/dc/terms/" xmlns:xsi="http://www.w3.org/2001/XMLSchema-instance" xsi:type="dcterms:W3CDTF">2026-07-15T11:34:22Z</dcterms:modified>
  <cp:revision>0</cp:revision>
</cp:coreProperties>
</file>